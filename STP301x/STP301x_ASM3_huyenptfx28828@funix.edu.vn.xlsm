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626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Tester\STP301x\"/>
    </mc:Choice>
  </mc:AlternateContent>
  <xr:revisionPtr revIDLastSave="0" documentId="13_ncr:1_{2C57BB49-57ED-41F1-B898-C0ECA552402A}" xr6:coauthVersionLast="47" xr6:coauthVersionMax="47" xr10:uidLastSave="{00000000-0000-0000-0000-000000000000}"/>
  <bookViews>
    <workbookView xWindow="-108" yWindow="-108" windowWidth="23256" windowHeight="12576" activeTab="3" xr2:uid="{00000000-000D-0000-FFFF-FFFF00000000}"/>
  </bookViews>
  <sheets>
    <sheet name="Dashboard" sheetId="3" r:id="rId1"/>
    <sheet name="Unit" sheetId="5" r:id="rId2"/>
    <sheet name="Recipes" sheetId="4" r:id="rId3"/>
    <sheet name="Pay" sheetId="7" r:id="rId4"/>
    <sheet name="Statistic" sheetId="8" r:id="rId5"/>
  </sheets>
  <definedNames>
    <definedName name="DONVI">Table13[]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G30" i="7" s="1"/>
  <c r="D29" i="7" l="1"/>
  <c r="E40" i="7"/>
  <c r="F35" i="7"/>
  <c r="D46" i="7"/>
  <c r="E39" i="7"/>
  <c r="G44" i="7"/>
  <c r="G36" i="7"/>
  <c r="D40" i="7"/>
  <c r="D31" i="7"/>
  <c r="F43" i="7"/>
  <c r="G37" i="7"/>
  <c r="D30" i="7"/>
  <c r="F42" i="7"/>
  <c r="D45" i="7"/>
  <c r="E46" i="7"/>
  <c r="E30" i="7"/>
  <c r="F41" i="7"/>
  <c r="G35" i="7"/>
  <c r="D44" i="7"/>
  <c r="D36" i="7"/>
  <c r="E45" i="7"/>
  <c r="E37" i="7"/>
  <c r="E29" i="7"/>
  <c r="F40" i="7"/>
  <c r="F32" i="7"/>
  <c r="G42" i="7"/>
  <c r="G34" i="7"/>
  <c r="D39" i="7"/>
  <c r="E32" i="7"/>
  <c r="G45" i="7"/>
  <c r="D38" i="7"/>
  <c r="E31" i="7"/>
  <c r="F34" i="7"/>
  <c r="D37" i="7"/>
  <c r="E38" i="7"/>
  <c r="F33" i="7"/>
  <c r="G43" i="7"/>
  <c r="D43" i="7"/>
  <c r="D35" i="7"/>
  <c r="E44" i="7"/>
  <c r="E36" i="7"/>
  <c r="F29" i="7"/>
  <c r="F39" i="7"/>
  <c r="F31" i="7"/>
  <c r="G41" i="7"/>
  <c r="G33" i="7"/>
  <c r="D42" i="7"/>
  <c r="D34" i="7"/>
  <c r="E43" i="7"/>
  <c r="E35" i="7"/>
  <c r="F46" i="7"/>
  <c r="F38" i="7"/>
  <c r="F30" i="7"/>
  <c r="G40" i="7"/>
  <c r="G32" i="7"/>
  <c r="D41" i="7"/>
  <c r="D33" i="7"/>
  <c r="E42" i="7"/>
  <c r="E34" i="7"/>
  <c r="F45" i="7"/>
  <c r="F37" i="7"/>
  <c r="G29" i="7"/>
  <c r="G39" i="7"/>
  <c r="G31" i="7"/>
  <c r="D32" i="7"/>
  <c r="E41" i="7"/>
  <c r="E33" i="7"/>
  <c r="F44" i="7"/>
  <c r="F36" i="7"/>
  <c r="G46" i="7"/>
  <c r="G38" i="7"/>
  <c r="O26" i="4"/>
  <c r="O27" i="4"/>
  <c r="O28" i="4"/>
  <c r="O29" i="4"/>
  <c r="O30" i="4"/>
  <c r="O31" i="4"/>
  <c r="O32" i="4"/>
  <c r="O33" i="4"/>
  <c r="O34" i="4"/>
  <c r="O35" i="4"/>
  <c r="P40" i="4"/>
  <c r="O40" i="4"/>
  <c r="N40" i="4"/>
  <c r="M40" i="4"/>
  <c r="K40" i="4"/>
  <c r="J40" i="4"/>
  <c r="I40" i="4"/>
  <c r="H40" i="4"/>
  <c r="F40" i="4"/>
  <c r="E40" i="4"/>
  <c r="D40" i="4"/>
  <c r="C40" i="4"/>
  <c r="P19" i="4"/>
  <c r="O19" i="4"/>
  <c r="N19" i="4"/>
  <c r="M19" i="4"/>
  <c r="I19" i="4"/>
  <c r="H19" i="4"/>
  <c r="K19" i="4"/>
  <c r="J19" i="4"/>
  <c r="E19" i="4"/>
  <c r="O25" i="4"/>
  <c r="J26" i="4"/>
  <c r="J27" i="4"/>
  <c r="J28" i="4"/>
  <c r="J29" i="4"/>
  <c r="J30" i="4"/>
  <c r="J31" i="4"/>
  <c r="J32" i="4"/>
  <c r="J33" i="4"/>
  <c r="J25" i="4"/>
  <c r="E26" i="4"/>
  <c r="E27" i="4"/>
  <c r="E28" i="4"/>
  <c r="E29" i="4"/>
  <c r="E30" i="4"/>
  <c r="E31" i="4"/>
  <c r="E32" i="4"/>
  <c r="E33" i="4"/>
  <c r="E25" i="4"/>
  <c r="O7" i="4"/>
  <c r="O8" i="4"/>
  <c r="O9" i="4"/>
  <c r="O10" i="4"/>
  <c r="O11" i="4"/>
  <c r="O12" i="4"/>
  <c r="O13" i="4"/>
  <c r="O6" i="4"/>
  <c r="J6" i="4"/>
  <c r="F19" i="4"/>
  <c r="D19" i="4"/>
  <c r="C19" i="4"/>
  <c r="J7" i="4"/>
  <c r="J8" i="4"/>
  <c r="J9" i="4"/>
  <c r="J10" i="4"/>
  <c r="J11" i="4"/>
  <c r="J12" i="4"/>
  <c r="J13" i="4"/>
  <c r="J14" i="4"/>
  <c r="J15" i="4"/>
  <c r="E6" i="4"/>
  <c r="E7" i="4"/>
  <c r="E8" i="4"/>
  <c r="E9" i="4"/>
  <c r="E10" i="4"/>
  <c r="E11" i="4"/>
  <c r="E12" i="4"/>
  <c r="E13" i="4"/>
  <c r="E14" i="4"/>
  <c r="J13" i="7"/>
  <c r="C33" i="7"/>
  <c r="C18" i="7"/>
  <c r="G18" i="7" s="1"/>
  <c r="N18" i="7" s="1"/>
  <c r="D6" i="8" l="1"/>
  <c r="D11" i="8" s="1"/>
  <c r="D8" i="8"/>
  <c r="D13" i="8" s="1"/>
  <c r="D9" i="8"/>
  <c r="D14" i="8" s="1"/>
  <c r="D7" i="8"/>
  <c r="D12" i="8" s="1"/>
  <c r="D5" i="8"/>
  <c r="D4" i="8"/>
  <c r="F6" i="8"/>
  <c r="F11" i="8" s="1"/>
  <c r="F8" i="8"/>
  <c r="F13" i="8" s="1"/>
  <c r="F7" i="8"/>
  <c r="F12" i="8" s="1"/>
  <c r="F9" i="8"/>
  <c r="F14" i="8" s="1"/>
  <c r="F5" i="8"/>
  <c r="F4" i="8"/>
  <c r="E6" i="8"/>
  <c r="E11" i="8" s="1"/>
  <c r="E8" i="8"/>
  <c r="E13" i="8" s="1"/>
  <c r="E9" i="8"/>
  <c r="E14" i="8" s="1"/>
  <c r="E7" i="8"/>
  <c r="E12" i="8" s="1"/>
  <c r="E5" i="8"/>
  <c r="E4" i="8"/>
  <c r="D18" i="7"/>
  <c r="K18" i="7" s="1"/>
  <c r="E18" i="7"/>
  <c r="L18" i="7" s="1"/>
  <c r="F18" i="7"/>
  <c r="M18" i="7" s="1"/>
  <c r="B7" i="3"/>
  <c r="D10" i="8" l="1"/>
  <c r="E10" i="8"/>
  <c r="F10" i="8"/>
  <c r="C16" i="7"/>
  <c r="F16" i="7" l="1"/>
  <c r="M16" i="7" s="1"/>
  <c r="E16" i="7"/>
  <c r="L16" i="7" s="1"/>
  <c r="D16" i="7"/>
  <c r="K16" i="7" s="1"/>
  <c r="G16" i="7"/>
  <c r="N16" i="7" s="1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2" i="7"/>
  <c r="C31" i="7"/>
  <c r="C30" i="7"/>
  <c r="C29" i="7"/>
  <c r="J22" i="7"/>
  <c r="C22" i="7"/>
  <c r="J21" i="7"/>
  <c r="C21" i="7"/>
  <c r="J20" i="7"/>
  <c r="C20" i="7"/>
  <c r="J19" i="7"/>
  <c r="C19" i="7"/>
  <c r="J18" i="7"/>
  <c r="J17" i="7"/>
  <c r="C17" i="7"/>
  <c r="J16" i="7"/>
  <c r="J15" i="7"/>
  <c r="C15" i="7"/>
  <c r="J14" i="7"/>
  <c r="C14" i="7"/>
  <c r="C13" i="7"/>
  <c r="J12" i="7"/>
  <c r="C12" i="7"/>
  <c r="J11" i="7"/>
  <c r="C11" i="7"/>
  <c r="J10" i="7"/>
  <c r="C10" i="7"/>
  <c r="J9" i="7"/>
  <c r="C9" i="7"/>
  <c r="J8" i="7"/>
  <c r="C8" i="7"/>
  <c r="J7" i="7"/>
  <c r="C7" i="7"/>
  <c r="J6" i="7"/>
  <c r="C6" i="7"/>
  <c r="J5" i="7"/>
  <c r="C5" i="7"/>
  <c r="E20" i="3"/>
  <c r="B20" i="3"/>
  <c r="E19" i="3"/>
  <c r="B19" i="3"/>
  <c r="E18" i="3"/>
  <c r="B18" i="3"/>
  <c r="E17" i="3"/>
  <c r="B17" i="3"/>
  <c r="E16" i="3"/>
  <c r="B16" i="3"/>
  <c r="E15" i="3"/>
  <c r="B15" i="3"/>
  <c r="E10" i="3"/>
  <c r="B10" i="3"/>
  <c r="E9" i="3"/>
  <c r="B9" i="3"/>
  <c r="E8" i="3"/>
  <c r="B8" i="3"/>
  <c r="E7" i="3"/>
  <c r="E6" i="3"/>
  <c r="B6" i="3"/>
  <c r="E5" i="3"/>
  <c r="B5" i="3"/>
  <c r="E7" i="7" l="1"/>
  <c r="L7" i="7" s="1"/>
  <c r="D7" i="7"/>
  <c r="K7" i="7" s="1"/>
  <c r="G7" i="7"/>
  <c r="N7" i="7" s="1"/>
  <c r="F7" i="7"/>
  <c r="M7" i="7" s="1"/>
  <c r="F8" i="7"/>
  <c r="M8" i="7" s="1"/>
  <c r="E8" i="7"/>
  <c r="L8" i="7" s="1"/>
  <c r="D8" i="7"/>
  <c r="K8" i="7" s="1"/>
  <c r="G8" i="7"/>
  <c r="N8" i="7" s="1"/>
  <c r="D12" i="7"/>
  <c r="K12" i="7" s="1"/>
  <c r="G12" i="7"/>
  <c r="N12" i="7" s="1"/>
  <c r="F12" i="7"/>
  <c r="M12" i="7" s="1"/>
  <c r="E12" i="7"/>
  <c r="L12" i="7" s="1"/>
  <c r="F17" i="7"/>
  <c r="M17" i="7" s="1"/>
  <c r="D17" i="7"/>
  <c r="K17" i="7" s="1"/>
  <c r="G17" i="7"/>
  <c r="N17" i="7" s="1"/>
  <c r="E17" i="7"/>
  <c r="L17" i="7" s="1"/>
  <c r="E21" i="7"/>
  <c r="L21" i="7" s="1"/>
  <c r="D21" i="7"/>
  <c r="K21" i="7" s="1"/>
  <c r="F21" i="7"/>
  <c r="M21" i="7" s="1"/>
  <c r="G21" i="7"/>
  <c r="N21" i="7" s="1"/>
  <c r="E22" i="7"/>
  <c r="L22" i="7" s="1"/>
  <c r="D22" i="7"/>
  <c r="K22" i="7" s="1"/>
  <c r="G22" i="7"/>
  <c r="N22" i="7" s="1"/>
  <c r="F22" i="7"/>
  <c r="M22" i="7" s="1"/>
  <c r="E5" i="7"/>
  <c r="L5" i="7" s="1"/>
  <c r="D5" i="7"/>
  <c r="K5" i="7" s="1"/>
  <c r="G5" i="7"/>
  <c r="N5" i="7" s="1"/>
  <c r="F5" i="7"/>
  <c r="M5" i="7" s="1"/>
  <c r="G11" i="7"/>
  <c r="N11" i="7" s="1"/>
  <c r="D11" i="7"/>
  <c r="K11" i="7" s="1"/>
  <c r="F11" i="7"/>
  <c r="M11" i="7" s="1"/>
  <c r="E11" i="7"/>
  <c r="L11" i="7" s="1"/>
  <c r="D9" i="7"/>
  <c r="K9" i="7" s="1"/>
  <c r="G9" i="7"/>
  <c r="N9" i="7" s="1"/>
  <c r="F9" i="7"/>
  <c r="M9" i="7" s="1"/>
  <c r="E9" i="7"/>
  <c r="L9" i="7" s="1"/>
  <c r="D13" i="7"/>
  <c r="K13" i="7" s="1"/>
  <c r="F13" i="7"/>
  <c r="M13" i="7" s="1"/>
  <c r="E13" i="7"/>
  <c r="L13" i="7" s="1"/>
  <c r="G13" i="7"/>
  <c r="N13" i="7" s="1"/>
  <c r="E14" i="7"/>
  <c r="L14" i="7" s="1"/>
  <c r="D14" i="7"/>
  <c r="K14" i="7" s="1"/>
  <c r="G14" i="7"/>
  <c r="N14" i="7" s="1"/>
  <c r="F14" i="7"/>
  <c r="M14" i="7" s="1"/>
  <c r="G19" i="7"/>
  <c r="N19" i="7" s="1"/>
  <c r="E19" i="7"/>
  <c r="L19" i="7" s="1"/>
  <c r="D19" i="7"/>
  <c r="K19" i="7" s="1"/>
  <c r="F19" i="7"/>
  <c r="M19" i="7" s="1"/>
  <c r="E6" i="7"/>
  <c r="L6" i="7" s="1"/>
  <c r="D6" i="7"/>
  <c r="K6" i="7" s="1"/>
  <c r="G6" i="7"/>
  <c r="N6" i="7" s="1"/>
  <c r="F6" i="7"/>
  <c r="M6" i="7" s="1"/>
  <c r="G10" i="7"/>
  <c r="N10" i="7" s="1"/>
  <c r="F10" i="7"/>
  <c r="M10" i="7" s="1"/>
  <c r="E10" i="7"/>
  <c r="L10" i="7" s="1"/>
  <c r="D10" i="7"/>
  <c r="K10" i="7" s="1"/>
  <c r="G15" i="7"/>
  <c r="N15" i="7" s="1"/>
  <c r="E15" i="7"/>
  <c r="L15" i="7" s="1"/>
  <c r="D15" i="7"/>
  <c r="K15" i="7" s="1"/>
  <c r="F15" i="7"/>
  <c r="M15" i="7" s="1"/>
  <c r="D20" i="7"/>
  <c r="K20" i="7" s="1"/>
  <c r="G20" i="7"/>
  <c r="N20" i="7" s="1"/>
  <c r="F20" i="7"/>
  <c r="M20" i="7" s="1"/>
  <c r="E20" i="7"/>
  <c r="L20" i="7" s="1"/>
  <c r="C4" i="8" l="1"/>
  <c r="C9" i="8"/>
  <c r="C14" i="8" s="1"/>
  <c r="C8" i="8"/>
  <c r="C13" i="8" s="1"/>
  <c r="C7" i="8"/>
  <c r="C12" i="8" s="1"/>
  <c r="C6" i="8"/>
  <c r="C11" i="8" s="1"/>
  <c r="C5" i="8"/>
  <c r="C10" i="8" l="1"/>
</calcChain>
</file>

<file path=xl/sharedStrings.xml><?xml version="1.0" encoding="utf-8"?>
<sst xmlns="http://schemas.openxmlformats.org/spreadsheetml/2006/main" count="292" uniqueCount="121">
  <si>
    <t>Baking soda</t>
  </si>
  <si>
    <t>Chocolate chips</t>
  </si>
  <si>
    <t>USD</t>
  </si>
  <si>
    <t>Trứng</t>
  </si>
  <si>
    <t>Đường</t>
  </si>
  <si>
    <t>Bột mì</t>
  </si>
  <si>
    <t>Bột nở</t>
  </si>
  <si>
    <t>Muối</t>
  </si>
  <si>
    <t>Đường nâu</t>
  </si>
  <si>
    <t>Đường mật</t>
  </si>
  <si>
    <t>Bơ</t>
  </si>
  <si>
    <t>Quế</t>
  </si>
  <si>
    <t xml:space="preserve">Kem </t>
  </si>
  <si>
    <t>Đường bột</t>
  </si>
  <si>
    <t>Nước chanh</t>
  </si>
  <si>
    <t>Men</t>
  </si>
  <si>
    <t>Gừng bột</t>
  </si>
  <si>
    <t>Chén</t>
  </si>
  <si>
    <t>Thìa cà phê</t>
  </si>
  <si>
    <t>Thìa canh</t>
  </si>
  <si>
    <t>Vỉ</t>
  </si>
  <si>
    <t>Thành phần</t>
  </si>
  <si>
    <t>Đơn vị thanh toán</t>
  </si>
  <si>
    <t>Túi</t>
  </si>
  <si>
    <t>Túi 1 kg</t>
  </si>
  <si>
    <t>Hộp</t>
  </si>
  <si>
    <t>Chai</t>
  </si>
  <si>
    <t>Túi 0.1 kg</t>
  </si>
  <si>
    <t>10 Chén/Túi 1kg</t>
  </si>
  <si>
    <t>17 Chén/Túi 2 kg</t>
  </si>
  <si>
    <t>114 Thìa cà phê/Hộp 1kg</t>
  </si>
  <si>
    <t>19 Thìa canh/Túi 0.5 kg</t>
  </si>
  <si>
    <t>Túi 2 kg</t>
  </si>
  <si>
    <t>Hộp 1 kg</t>
  </si>
  <si>
    <t>Túi 0.5 kg</t>
  </si>
  <si>
    <t>Chiếc</t>
  </si>
  <si>
    <t>125 Thìa cà phê/Túi 1 kg</t>
  </si>
  <si>
    <t>Gói 0.5 kg</t>
  </si>
  <si>
    <t>2 Chén/Gói 0.5 kg</t>
  </si>
  <si>
    <t>Vani</t>
  </si>
  <si>
    <t>24 Thìa cà phê/Chai</t>
  </si>
  <si>
    <t>65 Thìa cà phê/Hộp</t>
  </si>
  <si>
    <t>2 Chén/Túi 1 kg</t>
  </si>
  <si>
    <t>8 Chén/Túi 2 kg</t>
  </si>
  <si>
    <t>30 Thìa cà phê/Chai</t>
  </si>
  <si>
    <t>10 Thìa cà phê/Túi 0.1 kg</t>
  </si>
  <si>
    <t>4 Chiếc/Túi 0.5 kg</t>
  </si>
  <si>
    <t>Quy đổi</t>
  </si>
  <si>
    <t>Giá tiền</t>
  </si>
  <si>
    <t>40000 đ/Vỉ</t>
  </si>
  <si>
    <t>20000 đ/Túi 1 kg</t>
  </si>
  <si>
    <t>40000 đ/Túi 2 kg</t>
  </si>
  <si>
    <t>20000 đ/Hộp 1 kg</t>
  </si>
  <si>
    <t>15000 đ/Túi 0.5 kg</t>
  </si>
  <si>
    <t>12 Chiếc/Túi 0.2 kg</t>
  </si>
  <si>
    <t>Túi 0.2 kg</t>
  </si>
  <si>
    <t>20000 đ/Túi 0.2 kg</t>
  </si>
  <si>
    <t>10000 đ/Túi 1kg</t>
  </si>
  <si>
    <t>50000 đ/Túi 1kg</t>
  </si>
  <si>
    <t>60000 đ/Túi 0.5 kg</t>
  </si>
  <si>
    <t>20000 đ/Gói 0.5 kg</t>
  </si>
  <si>
    <t>100000 đ/Chai</t>
  </si>
  <si>
    <t>160000 đ/Hộp</t>
  </si>
  <si>
    <t>70000 đ/Túi 1 kg</t>
  </si>
  <si>
    <t>50000 đ/Túi 2 kg</t>
  </si>
  <si>
    <t>40000 đ/Chai</t>
  </si>
  <si>
    <t>120000 đ/Túi 0.1 kg</t>
  </si>
  <si>
    <t>30000 đ/Túi</t>
  </si>
  <si>
    <t>50000 đ/Túi 0.5 kg</t>
  </si>
  <si>
    <t>Quả</t>
  </si>
  <si>
    <t>12 Quả/Vỉ</t>
  </si>
  <si>
    <t>Đơn vị</t>
  </si>
  <si>
    <t>ĐƠN VỊ</t>
  </si>
  <si>
    <t>Số lượng:</t>
  </si>
  <si>
    <t>Bánh quy sô cô la</t>
  </si>
  <si>
    <t>Bánh nướng với men chanh</t>
  </si>
  <si>
    <t>Bánh quy gừng</t>
  </si>
  <si>
    <t>Bánh sừng bò sô cô la</t>
  </si>
  <si>
    <t>Bánh quế</t>
  </si>
  <si>
    <t>Công thức mới (tuỳ chọn)</t>
  </si>
  <si>
    <t>Tiền tệ</t>
  </si>
  <si>
    <t>Tỷ lệ VND</t>
  </si>
  <si>
    <t>Tên bánh</t>
  </si>
  <si>
    <t>Số lượng</t>
  </si>
  <si>
    <t>Nguyên liệu</t>
  </si>
  <si>
    <t>Số lượng cần mua</t>
  </si>
  <si>
    <t>Số lượng cần dùng</t>
  </si>
  <si>
    <t>Thống kê</t>
  </si>
  <si>
    <t>Bột vỏ chanh</t>
  </si>
  <si>
    <t>Số tiền trung bình</t>
  </si>
  <si>
    <t>Số tiền lớn nhất</t>
  </si>
  <si>
    <t>Tuần 1</t>
  </si>
  <si>
    <t>Tuần 2</t>
  </si>
  <si>
    <t>Tuần 4</t>
  </si>
  <si>
    <t>Tuần 3</t>
  </si>
  <si>
    <t>Số lượng bánh cần mua  tuần 1</t>
  </si>
  <si>
    <t>Số lượng bánh cần mua  tuần 2</t>
  </si>
  <si>
    <t>Số lượng bánh cần mua tuần 3</t>
  </si>
  <si>
    <t>Số lượng bánh cần mua tuần 4</t>
  </si>
  <si>
    <t>Số lượng cần mua tuần 1</t>
  </si>
  <si>
    <t>Số lượng cần mua tuần 2</t>
  </si>
  <si>
    <t>Số lượng cần mua tuần 3</t>
  </si>
  <si>
    <t>Số lượng cần mua tuần 4</t>
  </si>
  <si>
    <t>Biểu đồ thể hiện xu hướng số tiền trung bình mua nguyên liệu mỗi tuần</t>
  </si>
  <si>
    <t>Đơn vị (Chén, thìa cà phê, ...)</t>
  </si>
  <si>
    <t>Quy đổi đơn vị thanh toán</t>
  </si>
  <si>
    <t>Số tiền lớn thứ hai</t>
  </si>
  <si>
    <t>Số tiền lớn thứ ba</t>
  </si>
  <si>
    <t>Số tiền lớn thứ tư</t>
  </si>
  <si>
    <t>Thành tiền</t>
  </si>
  <si>
    <t>Tổng số tiền</t>
  </si>
  <si>
    <t>Số tiền còn lại</t>
  </si>
  <si>
    <t>Tên nguyên liệu có giá tiền lớn nhất</t>
  </si>
  <si>
    <t>Tên nguyên liệu có giá tiền lớn thứ hai</t>
  </si>
  <si>
    <t>Tên nguyên liệu có giá tiền lớn thứ ba</t>
  </si>
  <si>
    <t>Tên nguyên liệu có giá tiền lớn thứ tư</t>
  </si>
  <si>
    <t>Biểu đồ so sánh số tiền mua nguyên liệu của mỗi tuần</t>
  </si>
  <si>
    <t>4,5 chén/Túi 1 kg</t>
  </si>
  <si>
    <t>1,5 Chén/Túi 0.5 kg</t>
  </si>
  <si>
    <t>2,7 Chén/Túi</t>
  </si>
  <si>
    <t>VND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</si>
</sst>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indexed="64"/>
      </left>
      <right style="thin">
        <color theme="9" tint="-0.249977111117893"/>
      </right>
      <top style="medium">
        <color indexed="64"/>
      </top>
      <bottom style="thin">
        <color theme="9" tint="-0.249977111117893"/>
      </bottom>
      <diagonal/>
    </border>
    <border>
      <left style="thin">
        <color theme="9" tint="-0.249977111117893"/>
      </left>
      <right style="thin">
        <color theme="9" tint="-0.249977111117893"/>
      </right>
      <top style="medium">
        <color indexed="64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indexed="64"/>
      </right>
      <top style="medium">
        <color indexed="64"/>
      </top>
      <bottom style="thin">
        <color theme="9" tint="-0.249977111117893"/>
      </bottom>
      <diagonal/>
    </border>
    <border>
      <left style="medium">
        <color indexed="64"/>
      </left>
      <right style="thin">
        <color theme="9" tint="-0.249977111117893"/>
      </right>
      <top style="thin">
        <color theme="9" tint="-0.249977111117893"/>
      </top>
      <bottom style="thin">
        <color theme="9" tint="-0.249977111117893"/>
      </bottom>
      <diagonal/>
    </border>
    <border>
      <left style="thin">
        <color theme="9" tint="-0.249977111117893"/>
      </left>
      <right style="medium">
        <color indexed="64"/>
      </right>
      <top style="thin">
        <color theme="9" tint="-0.249977111117893"/>
      </top>
      <bottom style="thin">
        <color theme="9" tint="-0.249977111117893"/>
      </bottom>
      <diagonal/>
    </border>
    <border>
      <left style="medium">
        <color indexed="64"/>
      </left>
      <right style="thin">
        <color theme="9" tint="-0.249977111117893"/>
      </right>
      <top style="thin">
        <color theme="9" tint="-0.249977111117893"/>
      </top>
      <bottom style="medium">
        <color indexed="64"/>
      </bottom>
      <diagonal/>
    </border>
    <border>
      <left style="thin">
        <color theme="9" tint="-0.249977111117893"/>
      </left>
      <right style="thin">
        <color theme="9" tint="-0.249977111117893"/>
      </right>
      <top style="thin">
        <color theme="9" tint="-0.249977111117893"/>
      </top>
      <bottom style="medium">
        <color indexed="64"/>
      </bottom>
      <diagonal/>
    </border>
    <border>
      <left style="thin">
        <color theme="9" tint="-0.249977111117893"/>
      </left>
      <right style="medium">
        <color indexed="64"/>
      </right>
      <top style="thin">
        <color theme="9" tint="-0.249977111117893"/>
      </top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thin">
        <color indexed="64"/>
      </top>
      <bottom style="medium">
        <color theme="1"/>
      </bottom>
      <diagonal/>
    </border>
    <border>
      <left style="thin">
        <color indexed="64"/>
      </left>
      <right style="medium">
        <color theme="1"/>
      </right>
      <top style="thin">
        <color indexed="64"/>
      </top>
      <bottom style="medium">
        <color theme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94">
    <xf numFmtId="0" fontId="0" fillId="0" borderId="0" xfId="0"/>
    <xf numFmtId="0" fontId="1" fillId="0" borderId="0" xfId="0" applyFont="1"/>
    <xf numFmtId="12" fontId="0" fillId="0" borderId="0" xfId="0" applyNumberFormat="1"/>
    <xf numFmtId="12" fontId="0" fillId="0" borderId="0" xfId="0" applyNumberFormat="1" applyAlignment="1">
      <alignment horizontal="center"/>
    </xf>
    <xf numFmtId="0" fontId="1" fillId="0" borderId="1" xfId="0" applyFont="1" applyBorder="1" applyAlignment="1">
      <alignment wrapText="1"/>
    </xf>
    <xf numFmtId="0" fontId="0" fillId="0" borderId="1" xfId="0" applyBorder="1"/>
    <xf numFmtId="0" fontId="1" fillId="0" borderId="5" xfId="0" applyFont="1" applyBorder="1" applyAlignment="1">
      <alignment wrapText="1"/>
    </xf>
    <xf numFmtId="0" fontId="1" fillId="0" borderId="6" xfId="0" applyFont="1" applyBorder="1" applyAlignment="1">
      <alignment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center"/>
    </xf>
    <xf numFmtId="12" fontId="0" fillId="0" borderId="10" xfId="0" applyNumberFormat="1" applyBorder="1" applyAlignment="1">
      <alignment horizontal="right"/>
    </xf>
    <xf numFmtId="12" fontId="0" fillId="0" borderId="10" xfId="0" applyNumberFormat="1" applyBorder="1" applyAlignment="1">
      <alignment horizontal="center"/>
    </xf>
    <xf numFmtId="12" fontId="0" fillId="5" borderId="10" xfId="0" applyNumberFormat="1" applyFill="1" applyBorder="1" applyAlignment="1">
      <alignment horizontal="center"/>
    </xf>
    <xf numFmtId="0" fontId="1" fillId="0" borderId="14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0" fillId="0" borderId="14" xfId="0" applyBorder="1"/>
    <xf numFmtId="0" fontId="0" fillId="0" borderId="16" xfId="0" applyBorder="1"/>
    <xf numFmtId="0" fontId="0" fillId="0" borderId="11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8" xfId="0" applyBorder="1"/>
    <xf numFmtId="0" fontId="1" fillId="0" borderId="21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1" xfId="0" applyBorder="1" applyAlignment="1">
      <alignment horizontal="left"/>
    </xf>
    <xf numFmtId="0" fontId="0" fillId="3" borderId="22" xfId="0" applyFill="1" applyBorder="1" applyAlignment="1">
      <alignment horizontal="right"/>
    </xf>
    <xf numFmtId="0" fontId="0" fillId="0" borderId="23" xfId="0" applyBorder="1" applyAlignment="1">
      <alignment horizontal="left"/>
    </xf>
    <xf numFmtId="0" fontId="0" fillId="3" borderId="24" xfId="0" applyFill="1" applyBorder="1" applyAlignment="1">
      <alignment horizontal="right"/>
    </xf>
    <xf numFmtId="0" fontId="0" fillId="2" borderId="15" xfId="0" quotePrefix="1" applyFill="1" applyBorder="1"/>
    <xf numFmtId="12" fontId="0" fillId="0" borderId="17" xfId="0" applyNumberFormat="1" applyBorder="1" applyAlignment="1">
      <alignment horizontal="right"/>
    </xf>
    <xf numFmtId="12" fontId="0" fillId="0" borderId="17" xfId="0" applyNumberFormat="1" applyBorder="1" applyAlignment="1">
      <alignment horizontal="center"/>
    </xf>
    <xf numFmtId="12" fontId="0" fillId="5" borderId="17" xfId="0" applyNumberFormat="1" applyFill="1" applyBorder="1" applyAlignment="1">
      <alignment horizontal="center"/>
    </xf>
    <xf numFmtId="0" fontId="0" fillId="0" borderId="28" xfId="0" applyBorder="1"/>
    <xf numFmtId="0" fontId="0" fillId="0" borderId="29" xfId="0" applyBorder="1"/>
    <xf numFmtId="0" fontId="0" fillId="2" borderId="30" xfId="0" applyFill="1" applyBorder="1"/>
    <xf numFmtId="0" fontId="0" fillId="0" borderId="31" xfId="0" applyBorder="1" applyAlignment="1">
      <alignment horizontal="center" vertical="center"/>
    </xf>
    <xf numFmtId="12" fontId="0" fillId="0" borderId="32" xfId="0" applyNumberFormat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/>
    <xf numFmtId="0" fontId="0" fillId="0" borderId="38" xfId="0" applyBorder="1"/>
    <xf numFmtId="0" fontId="0" fillId="0" borderId="39" xfId="0" applyBorder="1"/>
    <xf numFmtId="0" fontId="0" fillId="0" borderId="34" xfId="0" applyBorder="1"/>
    <xf numFmtId="0" fontId="0" fillId="0" borderId="35" xfId="0" applyBorder="1"/>
    <xf numFmtId="0" fontId="0" fillId="0" borderId="40" xfId="0" applyBorder="1"/>
    <xf numFmtId="0" fontId="0" fillId="0" borderId="41" xfId="0" applyBorder="1"/>
    <xf numFmtId="164" fontId="0" fillId="2" borderId="30" xfId="1" applyFont="1" applyFill="1" applyBorder="1"/>
    <xf numFmtId="0" fontId="1" fillId="0" borderId="30" xfId="0" applyFont="1" applyBorder="1" applyAlignment="1">
      <alignment horizontal="center" vertical="center" wrapText="1"/>
    </xf>
    <xf numFmtId="0" fontId="1" fillId="0" borderId="37" xfId="0" applyFont="1" applyBorder="1" applyAlignment="1">
      <alignment vertical="center"/>
    </xf>
    <xf numFmtId="0" fontId="1" fillId="0" borderId="38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164" fontId="0" fillId="0" borderId="0" xfId="1" applyFont="1" applyFill="1" applyBorder="1" applyAlignment="1">
      <alignment horizontal="right"/>
    </xf>
    <xf numFmtId="0" fontId="1" fillId="0" borderId="0" xfId="0" applyFont="1" applyAlignment="1">
      <alignment vertical="center"/>
    </xf>
    <xf numFmtId="0" fontId="1" fillId="0" borderId="0" xfId="0" applyFont="1" applyAlignment="1">
      <alignment vertical="center" wrapText="1"/>
    </xf>
    <xf numFmtId="0" fontId="1" fillId="0" borderId="0" xfId="0" applyFont="1" applyAlignment="1">
      <alignment horizontal="center" vertical="center" wrapText="1"/>
    </xf>
    <xf numFmtId="0" fontId="1" fillId="0" borderId="30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4" fillId="2" borderId="34" xfId="2" applyFill="1" applyBorder="1"/>
    <xf numFmtId="0" fontId="5" fillId="0" borderId="0" xfId="0" applyFont="1" applyAlignment="1">
      <alignment vertical="center"/>
    </xf>
    <xf numFmtId="164" fontId="0" fillId="2" borderId="30" xfId="1" applyFont="1" applyFill="1" applyBorder="1" applyAlignment="1">
      <alignment horizontal="right"/>
    </xf>
    <xf numFmtId="0" fontId="5" fillId="6" borderId="0" xfId="0" applyFont="1" applyFill="1" applyAlignment="1">
      <alignment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4" borderId="2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horizontal="center" vertical="center"/>
    </xf>
    <xf numFmtId="0" fontId="1" fillId="4" borderId="4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6" xfId="0" applyFont="1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0" fontId="1" fillId="0" borderId="32" xfId="0" applyFont="1" applyBorder="1" applyAlignment="1">
      <alignment horizontal="center" vertical="center"/>
    </xf>
    <xf numFmtId="0" fontId="1" fillId="0" borderId="33" xfId="0" applyFont="1" applyBorder="1" applyAlignment="1">
      <alignment horizontal="center" vertical="center"/>
    </xf>
    <xf numFmtId="0" fontId="1" fillId="0" borderId="37" xfId="0" applyFont="1" applyBorder="1" applyAlignment="1">
      <alignment horizontal="center" vertical="center"/>
    </xf>
    <xf numFmtId="0" fontId="1" fillId="0" borderId="30" xfId="0" applyFont="1" applyBorder="1" applyAlignment="1">
      <alignment horizontal="center" vertical="center"/>
    </xf>
    <xf numFmtId="0" fontId="1" fillId="0" borderId="38" xfId="0" applyFont="1" applyBorder="1" applyAlignment="1">
      <alignment horizontal="center" vertical="center"/>
    </xf>
    <xf numFmtId="0" fontId="1" fillId="0" borderId="31" xfId="0" applyFont="1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1" fillId="0" borderId="33" xfId="0" applyFont="1" applyBorder="1" applyAlignment="1">
      <alignment horizontal="center"/>
    </xf>
    <xf numFmtId="0" fontId="1" fillId="0" borderId="42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 wrapText="1"/>
    </xf>
    <xf numFmtId="0" fontId="3" fillId="0" borderId="26" xfId="0" applyFont="1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 wrapText="1"/>
    </xf>
  </cellXfs>
  <cellStyles count="3">
    <cellStyle name="Comma" xfId="1" builtinId="3"/>
    <cellStyle name="Hyperlink" xfId="2" builtinId="8"/>
    <cellStyle name="Normal" xfId="0" builtinId="0"/>
  </cellStyles>
  <dxfs count="9">
    <dxf>
      <numFmt numFmtId="165" formatCode="[$$-409]#,##0.00"/>
    </dxf>
    <dxf>
      <numFmt numFmtId="165" formatCode="[$$-409]#,##0.00"/>
    </dxf>
    <dxf>
      <numFmt numFmtId="166" formatCode="#,##0.00\ &quot;₫&quot;"/>
    </dxf>
    <dxf>
      <border diagonalUp="0" diagonalDown="0">
        <left style="thin">
          <color theme="9" tint="-0.249977111117893"/>
        </left>
        <right/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 style="thin">
          <color theme="9" tint="-0.249977111117893"/>
        </left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 style="thin">
          <color theme="9" tint="-0.249977111117893"/>
        </left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 style="thin">
          <color theme="9" tint="-0.249977111117893"/>
        </left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border diagonalUp="0" diagonalDown="0">
        <left/>
        <right style="thin">
          <color theme="9" tint="-0.249977111117893"/>
        </right>
        <top style="thin">
          <color theme="9" tint="-0.249977111117893"/>
        </top>
        <bottom style="thin">
          <color theme="9" tint="-0.249977111117893"/>
        </bottom>
        <vertical style="thin">
          <color theme="9" tint="-0.249977111117893"/>
        </vertical>
        <horizontal style="thin">
          <color theme="9" tint="-0.249977111117893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1" indent="0" justifyLastLine="0" shrinkToFit="0" readingOrder="0"/>
      <border diagonalUp="0" diagonalDown="0">
        <left style="thin">
          <color theme="9" tint="-0.249977111117893"/>
        </left>
        <right style="thin">
          <color theme="9" tint="-0.249977111117893"/>
        </right>
        <top/>
        <bottom/>
        <vertical style="thin">
          <color theme="9" tint="-0.249977111117893"/>
        </vertical>
        <horizontal style="thin">
          <color theme="9" tint="-0.249977111117893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Biểu đồ so sánh số tiền mua nguyên liệu của mỗi tuần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5"/>
          <c:order val="1"/>
          <c:tx>
            <c:strRef>
              <c:f>Statistic!$B$9</c:f>
              <c:strCache>
                <c:ptCount val="1"/>
                <c:pt idx="0">
                  <c:v>Số tiền lớn thứ tư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6052877927090609E-3"/>
                  <c:y val="-0.11323269129835992"/>
                </c:manualLayout>
              </c:layout>
              <c:tx>
                <c:rich>
                  <a:bodyPr/>
                  <a:lstStyle/>
                  <a:p>
                    <a:fld id="{F8834600-3317-402E-ABA1-F59B2DDFBD2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6-0E4A-42EA-9BA4-5DF199B501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804439D-7B0A-4938-B1AE-ACAA4DC147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0E4A-42EA-9BA4-5DF199B501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A73BA4B-7C60-44CF-BACE-E07BFEC005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0E4A-42EA-9BA4-5DF199B50194}"/>
                </c:ext>
              </c:extLst>
            </c:dLbl>
            <c:dLbl>
              <c:idx val="3"/>
              <c:layout>
                <c:manualLayout>
                  <c:x val="-2.5684604683344974E-2"/>
                  <c:y val="-2.5162820288524519E-2"/>
                </c:manualLayout>
              </c:layout>
              <c:tx>
                <c:rich>
                  <a:bodyPr/>
                  <a:lstStyle/>
                  <a:p>
                    <a:fld id="{FE8029D9-C38A-4A09-84C6-4C9F6554E1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0E4A-42EA-9BA4-5DF199B50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Statistic!$C$9:$F$9</c:f>
              <c:numCache>
                <c:formatCode>_(* #,##0.00_);_(* \(#,##0.00\);_(* "-"??_);_(@_)</c:formatCode>
                <c:ptCount val="4"/>
                <c:pt idx="0">
                  <c:v>100000</c:v>
                </c:pt>
                <c:pt idx="1">
                  <c:v>100000</c:v>
                </c:pt>
                <c:pt idx="2">
                  <c:v>120000</c:v>
                </c:pt>
                <c:pt idx="3">
                  <c:v>120000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Statistic!$C$14:$F$14</c15:f>
                <c15:dlblRangeCache>
                  <c:ptCount val="4"/>
                  <c:pt idx="0">
                    <c:v>Chocolate chips</c:v>
                  </c:pt>
                  <c:pt idx="1">
                    <c:v>Vani</c:v>
                  </c:pt>
                  <c:pt idx="2">
                    <c:v>Bột mì</c:v>
                  </c:pt>
                  <c:pt idx="3">
                    <c:v>Bột mì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C750-4DE2-83C6-B992CD967F32}"/>
            </c:ext>
          </c:extLst>
        </c:ser>
        <c:ser>
          <c:idx val="4"/>
          <c:order val="2"/>
          <c:tx>
            <c:strRef>
              <c:f>Statistic!$B$8</c:f>
              <c:strCache>
                <c:ptCount val="1"/>
                <c:pt idx="0">
                  <c:v>Số tiền lớn thứ ba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6.4211511708362435E-3"/>
                  <c:y val="-5.787448666360618E-2"/>
                </c:manualLayout>
              </c:layout>
              <c:tx>
                <c:rich>
                  <a:bodyPr/>
                  <a:lstStyle/>
                  <a:p>
                    <a:fld id="{5BE57859-6C88-4386-88C6-EB6F146BD1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0E4A-42EA-9BA4-5DF199B50194}"/>
                </c:ext>
              </c:extLst>
            </c:dLbl>
            <c:dLbl>
              <c:idx val="1"/>
              <c:layout>
                <c:manualLayout>
                  <c:x val="-1.4447590134381549E-2"/>
                  <c:y val="-5.0325640577048851E-2"/>
                </c:manualLayout>
              </c:layout>
              <c:tx>
                <c:rich>
                  <a:bodyPr/>
                  <a:lstStyle/>
                  <a:p>
                    <a:fld id="{8F6C436B-7389-4AC3-A94B-A4CB117259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0E4A-42EA-9BA4-5DF199B50194}"/>
                </c:ext>
              </c:extLst>
            </c:dLbl>
            <c:dLbl>
              <c:idx val="2"/>
              <c:layout>
                <c:manualLayout>
                  <c:x val="-1.4447590134381665E-2"/>
                  <c:y val="-4.7809358548196408E-2"/>
                </c:manualLayout>
              </c:layout>
              <c:tx>
                <c:rich>
                  <a:bodyPr/>
                  <a:lstStyle/>
                  <a:p>
                    <a:fld id="{96E9B6A8-BF8B-44AB-A3A6-290D847483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0E4A-42EA-9BA4-5DF199B50194}"/>
                </c:ext>
              </c:extLst>
            </c:dLbl>
            <c:dLbl>
              <c:idx val="3"/>
              <c:layout>
                <c:manualLayout>
                  <c:x val="1.6052877927089431E-3"/>
                  <c:y val="0"/>
                </c:manualLayout>
              </c:layout>
              <c:tx>
                <c:rich>
                  <a:bodyPr/>
                  <a:lstStyle/>
                  <a:p>
                    <a:fld id="{855B9D10-CE02-4086-A49E-0E891E0E3C7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3-0E4A-42EA-9BA4-5DF199B50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Statistic!$C$8:$F$8</c:f>
              <c:numCache>
                <c:formatCode>_(* #,##0.00_);_(* \(#,##0.00\);_(* "-"??_);_(@_)</c:formatCode>
                <c:ptCount val="4"/>
                <c:pt idx="0">
                  <c:v>120000</c:v>
                </c:pt>
                <c:pt idx="1">
                  <c:v>120000</c:v>
                </c:pt>
                <c:pt idx="2">
                  <c:v>140000</c:v>
                </c:pt>
                <c:pt idx="3">
                  <c:v>120000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Statistic!$C$13:$F$13</c15:f>
                <c15:dlblRangeCache>
                  <c:ptCount val="4"/>
                  <c:pt idx="0">
                    <c:v>Bột vỏ chanh</c:v>
                  </c:pt>
                  <c:pt idx="1">
                    <c:v>Bột vỏ chanh</c:v>
                  </c:pt>
                  <c:pt idx="2">
                    <c:v>Chocolate chips</c:v>
                  </c:pt>
                  <c:pt idx="3">
                    <c:v>Bột mì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C750-4DE2-83C6-B992CD967F32}"/>
            </c:ext>
          </c:extLst>
        </c:ser>
        <c:ser>
          <c:idx val="3"/>
          <c:order val="3"/>
          <c:tx>
            <c:strRef>
              <c:f>Statistic!$B$7</c:f>
              <c:strCache>
                <c:ptCount val="1"/>
                <c:pt idx="0">
                  <c:v>Số tiền lớn thứ hai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27E2E89F-E851-4C5A-9E17-849D3541634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0E4A-42EA-9BA4-5DF199B501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199DC20-8D41-4771-BDC4-8B564F402E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0E4A-42EA-9BA4-5DF199B501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7DF6D68-AA87-4D9A-83C3-B2DE3E1909C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0E4A-42EA-9BA4-5DF199B50194}"/>
                </c:ext>
              </c:extLst>
            </c:dLbl>
            <c:dLbl>
              <c:idx val="3"/>
              <c:layout>
                <c:manualLayout>
                  <c:x val="-6.4211511708362435E-3"/>
                  <c:y val="-3.0195384346229405E-2"/>
                </c:manualLayout>
              </c:layout>
              <c:tx>
                <c:rich>
                  <a:bodyPr/>
                  <a:lstStyle/>
                  <a:p>
                    <a:fld id="{72C3BD77-859B-4F98-84BA-EC58DEB7B9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4-0E4A-42EA-9BA4-5DF199B50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Statistic!$C$7:$F$7</c:f>
              <c:numCache>
                <c:formatCode>_(* #,##0.00_);_(* \(#,##0.00\);_(* "-"??_);_(@_)</c:formatCode>
                <c:ptCount val="4"/>
                <c:pt idx="0">
                  <c:v>160000</c:v>
                </c:pt>
                <c:pt idx="1">
                  <c:v>160000</c:v>
                </c:pt>
                <c:pt idx="2">
                  <c:v>160000</c:v>
                </c:pt>
                <c:pt idx="3">
                  <c:v>160000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Statistic!$C$12:$F$12</c15:f>
                <c15:dlblRangeCache>
                  <c:ptCount val="4"/>
                  <c:pt idx="0">
                    <c:v>Quế</c:v>
                  </c:pt>
                  <c:pt idx="1">
                    <c:v>Quế</c:v>
                  </c:pt>
                  <c:pt idx="2">
                    <c:v>Quế</c:v>
                  </c:pt>
                  <c:pt idx="3">
                    <c:v>Quế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3-C750-4DE2-83C6-B992CD967F32}"/>
            </c:ext>
          </c:extLst>
        </c:ser>
        <c:ser>
          <c:idx val="2"/>
          <c:order val="4"/>
          <c:tx>
            <c:strRef>
              <c:f>Statistic!$B$6</c:f>
              <c:strCache>
                <c:ptCount val="1"/>
                <c:pt idx="0">
                  <c:v>Số tiền lớn nhất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0E67971-C7DB-4878-A64E-CB78D52405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0E4A-42EA-9BA4-5DF199B5019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2456414-7E9C-4162-AA11-3BF3C45BFC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0E4A-42EA-9BA4-5DF199B5019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36711E8-EE3E-4319-BDAC-E74EAA56CE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0E4A-42EA-9BA4-5DF199B5019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71EB2E2-07BF-4A26-8A30-E68D175A38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0E4A-42EA-9BA4-5DF199B50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Statistic!$C$6:$F$6</c:f>
              <c:numCache>
                <c:formatCode>_(* #,##0.00_);_(* \(#,##0.00\);_(* "-"??_);_(@_)</c:formatCode>
                <c:ptCount val="4"/>
                <c:pt idx="0">
                  <c:v>210000</c:v>
                </c:pt>
                <c:pt idx="1">
                  <c:v>210000</c:v>
                </c:pt>
                <c:pt idx="2">
                  <c:v>490000</c:v>
                </c:pt>
                <c:pt idx="3">
                  <c:v>490000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Statistic!$C$11:$F$11</c15:f>
                <c15:dlblRangeCache>
                  <c:ptCount val="4"/>
                  <c:pt idx="0">
                    <c:v>Kem </c:v>
                  </c:pt>
                  <c:pt idx="1">
                    <c:v>Kem </c:v>
                  </c:pt>
                  <c:pt idx="2">
                    <c:v>Kem </c:v>
                  </c:pt>
                  <c:pt idx="3">
                    <c:v>Kem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2-C750-4DE2-83C6-B992CD967F32}"/>
            </c:ext>
          </c:extLst>
        </c:ser>
        <c:ser>
          <c:idx val="6"/>
          <c:order val="5"/>
          <c:tx>
            <c:strRef>
              <c:f>Statistic!$B$10</c:f>
              <c:strCache>
                <c:ptCount val="1"/>
                <c:pt idx="0">
                  <c:v>Số tiền còn lại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2.4079316890635916E-2"/>
                  <c:y val="-7.5488460865573278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0E4A-42EA-9BA4-5DF199B50194}"/>
                </c:ext>
              </c:extLst>
            </c:dLbl>
            <c:dLbl>
              <c:idx val="1"/>
              <c:layout>
                <c:manualLayout>
                  <c:x val="-2.5684604683345033E-2"/>
                  <c:y val="-1.006512811540986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E4A-42EA-9BA4-5DF199B50194}"/>
                </c:ext>
              </c:extLst>
            </c:dLbl>
            <c:dLbl>
              <c:idx val="2"/>
              <c:layout>
                <c:manualLayout>
                  <c:x val="-2.7289892476054036E-2"/>
                  <c:y val="-2.264643919345037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7.8707260476525251E-2"/>
                      <c:h val="3.5190303239723011E-2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8-0E4A-42EA-9BA4-5DF199B50194}"/>
                </c:ext>
              </c:extLst>
            </c:dLbl>
            <c:dLbl>
              <c:idx val="3"/>
              <c:layout>
                <c:manualLayout>
                  <c:x val="-2.5684604683344974E-2"/>
                  <c:y val="-1.7613974201967097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E4A-42EA-9BA4-5DF199B5019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Statistic!$C$10:$F$10</c:f>
              <c:numCache>
                <c:formatCode>_(* #,##0.00_);_(* \(#,##0.00\);_(* "-"??_);_(@_)</c:formatCode>
                <c:ptCount val="4"/>
                <c:pt idx="0">
                  <c:v>735000</c:v>
                </c:pt>
                <c:pt idx="1">
                  <c:v>625000</c:v>
                </c:pt>
                <c:pt idx="2">
                  <c:v>775000</c:v>
                </c:pt>
                <c:pt idx="3">
                  <c:v>715000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50-4DE2-83C6-B992CD967F32}"/>
            </c:ext>
          </c:extLst>
        </c:ser>
        <c:ser>
          <c:idx val="0"/>
          <c:order val="6"/>
          <c:tx>
            <c:strRef>
              <c:f>Statistic!$B$4</c:f>
              <c:strCache>
                <c:ptCount val="1"/>
                <c:pt idx="0">
                  <c:v>Tổng số tiền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Statistic!$C$4:$F$4</c:f>
              <c:numCache>
                <c:formatCode>_(* #,##0.00_);_(* \(#,##0.00\);_(* "-"??_);_(@_)</c:formatCode>
                <c:ptCount val="4"/>
                <c:pt idx="0">
                  <c:v>1325000</c:v>
                </c:pt>
                <c:pt idx="1">
                  <c:v>1215000</c:v>
                </c:pt>
                <c:pt idx="2">
                  <c:v>1685000</c:v>
                </c:pt>
                <c:pt idx="3">
                  <c:v>1605000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50-4DE2-83C6-B992CD967F3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4327536"/>
        <c:axId val="1349993744"/>
        <c:extLst>
          <c:ext xmlns:c15="http://schemas.microsoft.com/office/drawing/2012/chart" uri="{02D57815-91ED-43cb-92C2-25804820EDAC}">
            <c15:filteredBarSeries>
              <c15:ser>
                <c:idx val="1"/>
                <c:order val="0"/>
                <c:tx>
                  <c:strRef>
                    <c:extLst>
                      <c:ext uri="{02D57815-91ED-43cb-92C2-25804820EDAC}">
                        <c15:formulaRef>
                          <c15:sqref>Statistic!$B$5</c15:sqref>
                        </c15:formulaRef>
                      </c:ext>
                    </c:extLst>
                    <c:strCache>
                      <c:ptCount val="1"/>
                      <c:pt idx="0">
                        <c:v>Số tiền trung bình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>
                      <c:ext uri="{02D57815-91ED-43cb-92C2-25804820EDAC}">
                        <c15:formulaRef>
                          <c15:sqref>Statistic!$C$3:$F$3</c15:sqref>
                        </c15:formulaRef>
                      </c:ext>
                    </c:extLst>
                    <c:strCache>
                      <c:ptCount val="4"/>
                      <c:pt idx="0">
                        <c:v>Tuần 1</c:v>
                      </c:pt>
                      <c:pt idx="1">
                        <c:v>Tuần 2</c:v>
                      </c:pt>
                      <c:pt idx="2">
                        <c:v>Tuần 3</c:v>
                      </c:pt>
                      <c:pt idx="3">
                        <c:v>Tuần 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Statistic!$C$5:$F$5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73611.111111111109</c:v>
                      </c:pt>
                      <c:pt idx="1">
                        <c:v>67500</c:v>
                      </c:pt>
                      <c:pt idx="2">
                        <c:v>93611.111111111109</c:v>
                      </c:pt>
                      <c:pt idx="3">
                        <c:v>89166.666666666672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750-4DE2-83C6-B992CD967F32}"/>
                  </c:ext>
                </c:extLst>
              </c15:ser>
            </c15:filteredBarSeries>
            <c15:filteredBarSeries>
              <c15:ser>
                <c:idx val="7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Statistic!$B$11</c15:sqref>
                        </c15:formulaRef>
                      </c:ext>
                    </c:extLst>
                    <c:strCache>
                      <c:ptCount val="1"/>
                      <c:pt idx="0">
                        <c:v>Tên nguyên liệu có giá tiền lớn nhất</c:v>
                      </c:pt>
                    </c:strCache>
                  </c:strRef>
                </c:tx>
                <c:spPr>
                  <a:solidFill>
                    <a:schemeClr val="accent2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Statistic!$C$3:$F$3</c15:sqref>
                        </c15:formulaRef>
                      </c:ext>
                    </c:extLst>
                    <c:strCache>
                      <c:ptCount val="4"/>
                      <c:pt idx="0">
                        <c:v>Tuần 1</c:v>
                      </c:pt>
                      <c:pt idx="1">
                        <c:v>Tuần 2</c:v>
                      </c:pt>
                      <c:pt idx="2">
                        <c:v>Tuần 3</c:v>
                      </c:pt>
                      <c:pt idx="3">
                        <c:v>Tuần 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Statistic!$C$11:$F$11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C750-4DE2-83C6-B992CD967F32}"/>
                  </c:ext>
                </c:extLst>
              </c15:ser>
            </c15:filteredBarSeries>
            <c15:filteredBa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Statistic!$B$12</c15:sqref>
                        </c15:formulaRef>
                      </c:ext>
                    </c:extLst>
                    <c:strCache>
                      <c:ptCount val="1"/>
                      <c:pt idx="0">
                        <c:v>Tên nguyên liệu có giá tiền lớn thứ hai</c:v>
                      </c:pt>
                    </c:strCache>
                  </c:strRef>
                </c:tx>
                <c:spPr>
                  <a:solidFill>
                    <a:schemeClr val="accent3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Statistic!$C$3:$F$3</c15:sqref>
                        </c15:formulaRef>
                      </c:ext>
                    </c:extLst>
                    <c:strCache>
                      <c:ptCount val="4"/>
                      <c:pt idx="0">
                        <c:v>Tuần 1</c:v>
                      </c:pt>
                      <c:pt idx="1">
                        <c:v>Tuần 2</c:v>
                      </c:pt>
                      <c:pt idx="2">
                        <c:v>Tuần 3</c:v>
                      </c:pt>
                      <c:pt idx="3">
                        <c:v>Tuần 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Statistic!$C$12:$F$12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C750-4DE2-83C6-B992CD967F32}"/>
                  </c:ext>
                </c:extLst>
              </c15:ser>
            </c15:filteredBarSeries>
            <c15:filteredBa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Statistic!$B$13</c15:sqref>
                        </c15:formulaRef>
                      </c:ext>
                    </c:extLst>
                    <c:strCache>
                      <c:ptCount val="1"/>
                      <c:pt idx="0">
                        <c:v>Tên nguyên liệu có giá tiền lớn thứ ba</c:v>
                      </c:pt>
                    </c:strCache>
                  </c:strRef>
                </c:tx>
                <c:spPr>
                  <a:solidFill>
                    <a:schemeClr val="accent4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Statistic!$C$3:$F$3</c15:sqref>
                        </c15:formulaRef>
                      </c:ext>
                    </c:extLst>
                    <c:strCache>
                      <c:ptCount val="4"/>
                      <c:pt idx="0">
                        <c:v>Tuần 1</c:v>
                      </c:pt>
                      <c:pt idx="1">
                        <c:v>Tuần 2</c:v>
                      </c:pt>
                      <c:pt idx="2">
                        <c:v>Tuần 3</c:v>
                      </c:pt>
                      <c:pt idx="3">
                        <c:v>Tuần 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Statistic!$C$13:$F$13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C750-4DE2-83C6-B992CD967F32}"/>
                  </c:ext>
                </c:extLst>
              </c15:ser>
            </c15:filteredBarSeries>
            <c15:filteredBarSeries>
              <c15:ser>
                <c:idx val="10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Statistic!$B$14</c15:sqref>
                        </c15:formulaRef>
                      </c:ext>
                    </c:extLst>
                    <c:strCache>
                      <c:ptCount val="1"/>
                      <c:pt idx="0">
                        <c:v>Tên nguyên liệu có giá tiền lớn thứ tư</c:v>
                      </c:pt>
                    </c:strCache>
                  </c:strRef>
                </c:tx>
                <c:spPr>
                  <a:solidFill>
                    <a:schemeClr val="accent5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75000"/>
                              <a:lumOff val="25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Statistic!$C$3:$F$3</c15:sqref>
                        </c15:formulaRef>
                      </c:ext>
                    </c:extLst>
                    <c:strCache>
                      <c:ptCount val="4"/>
                      <c:pt idx="0">
                        <c:v>Tuần 1</c:v>
                      </c:pt>
                      <c:pt idx="1">
                        <c:v>Tuần 2</c:v>
                      </c:pt>
                      <c:pt idx="2">
                        <c:v>Tuần 3</c:v>
                      </c:pt>
                      <c:pt idx="3">
                        <c:v>Tuần 4</c:v>
                      </c:pt>
                    </c:strCache>
                  </c:str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Statistic!$C$14:$F$14</c15:sqref>
                        </c15:formulaRef>
                      </c:ext>
                    </c:extLst>
                    <c:numCache>
                      <c:formatCode>General</c:formatCode>
                      <c:ptCount val="4"/>
                      <c:pt idx="0">
                        <c:v>0</c:v>
                      </c:pt>
                      <c:pt idx="1">
                        <c:v>0</c:v>
                      </c:pt>
                      <c:pt idx="2">
                        <c:v>0</c:v>
                      </c:pt>
                      <c:pt idx="3">
                        <c:v>0</c:v>
                      </c:pt>
                    </c:numCache>
                  </c:numRef>
                </c:val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C750-4DE2-83C6-B992CD967F32}"/>
                  </c:ext>
                </c:extLst>
              </c15:ser>
            </c15:filteredBarSeries>
          </c:ext>
        </c:extLst>
      </c:barChart>
      <c:catAx>
        <c:axId val="13443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993744"/>
        <c:crosses val="autoZero"/>
        <c:auto val="1"/>
        <c:lblAlgn val="ctr"/>
        <c:lblOffset val="100"/>
        <c:noMultiLvlLbl val="0"/>
      </c:catAx>
      <c:valAx>
        <c:axId val="1349993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43275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vi-VN" sz="1600" b="1"/>
              <a:t>Biểu đồ thể hiện xu hướng số tiền trung bình mua nguyên liệu mỗi tuần</a:t>
            </a:r>
            <a:endParaRPr lang="en-US" sz="1600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Statistic!$B$5</c:f>
              <c:strCache>
                <c:ptCount val="1"/>
                <c:pt idx="0">
                  <c:v>Số tiền trung bình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diamond"/>
            <c:size val="6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Statistic!$C$3:$F$3</c:f>
              <c:strCache>
                <c:ptCount val="4"/>
                <c:pt idx="0">
                  <c:v>Tuần 1</c:v>
                </c:pt>
                <c:pt idx="1">
                  <c:v>Tuần 2</c:v>
                </c:pt>
                <c:pt idx="2">
                  <c:v>Tuần 3</c:v>
                </c:pt>
                <c:pt idx="3">
                  <c:v>Tuần 4</c:v>
                </c:pt>
              </c:strCache>
            </c:strRef>
          </c:cat>
          <c:val>
            <c:numRef>
              <c:f>Statistic!$C$5:$F$5</c:f>
              <c:numCache>
                <c:formatCode>_(* #,##0.00_);_(* \(#,##0.00\);_(* "-"??_);_(@_)</c:formatCode>
                <c:ptCount val="4"/>
                <c:pt idx="0">
                  <c:v>73611.111111111109</c:v>
                </c:pt>
                <c:pt idx="1">
                  <c:v>67500</c:v>
                </c:pt>
                <c:pt idx="2">
                  <c:v>93611.111111111109</c:v>
                </c:pt>
                <c:pt idx="3">
                  <c:v>89166.666666666672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E95-4786-9492-9A85880E47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56881184"/>
        <c:axId val="1341482544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Statistic!$B$4</c15:sqref>
                        </c15:formulaRef>
                      </c:ext>
                    </c:extLst>
                    <c:strCache>
                      <c:ptCount val="1"/>
                      <c:pt idx="0">
                        <c:v>Tổng số tiền</c:v>
                      </c:pt>
                    </c:strCache>
                  </c:strRef>
                </c:tx>
                <c:spPr>
                  <a:ln w="2857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strRef>
                    <c:extLst>
                      <c:ext uri="{02D57815-91ED-43cb-92C2-25804820EDAC}">
                        <c15:formulaRef>
                          <c15:sqref>Statistic!$C$3:$F$3</c15:sqref>
                        </c15:formulaRef>
                      </c:ext>
                    </c:extLst>
                    <c:strCache>
                      <c:ptCount val="4"/>
                      <c:pt idx="0">
                        <c:v>Tuần 1</c:v>
                      </c:pt>
                      <c:pt idx="1">
                        <c:v>Tuần 2</c:v>
                      </c:pt>
                      <c:pt idx="2">
                        <c:v>Tuần 3</c:v>
                      </c:pt>
                      <c:pt idx="3">
                        <c:v>Tuần 4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Statistic!$C$4:$F$4</c15:sqref>
                        </c15:formulaRef>
                      </c:ext>
                    </c:extLst>
                    <c:numCache>
                      <c:formatCode>_(* #,##0.00_);_(* \(#,##0.00\);_(* "-"??_);_(@_)</c:formatCode>
                      <c:ptCount val="4"/>
                      <c:pt idx="0">
                        <c:v>1325000</c:v>
                      </c:pt>
                      <c:pt idx="1">
                        <c:v>1215000</c:v>
                      </c:pt>
                      <c:pt idx="2">
                        <c:v>1685000</c:v>
                      </c:pt>
                      <c:pt idx="3">
                        <c:v>1605000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0-FE95-4786-9492-9A85880E4767}"/>
                  </c:ext>
                </c:extLst>
              </c15:ser>
            </c15:filteredLineSeries>
          </c:ext>
        </c:extLst>
      </c:lineChart>
      <c:catAx>
        <c:axId val="1456881184"/>
        <c:scaling>
          <c:orientation val="minMax"/>
        </c:scaling>
        <c:delete val="0"/>
        <c:axPos val="b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482544"/>
        <c:crosses val="autoZero"/>
        <c:auto val="1"/>
        <c:lblAlgn val="ctr"/>
        <c:lblOffset val="100"/>
        <c:noMultiLvlLbl val="0"/>
      </c:catAx>
      <c:valAx>
        <c:axId val="1341482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56881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1600200</xdr:colOff>
      <xdr:row>21</xdr:row>
      <xdr:rowOff>26895</xdr:rowOff>
    </xdr:from>
    <xdr:to>
      <xdr:col>5</xdr:col>
      <xdr:colOff>1775012</xdr:colOff>
      <xdr:row>46</xdr:row>
      <xdr:rowOff>143437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0B9BE0-0733-0FFB-B793-29E21EEFF59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811304</xdr:colOff>
      <xdr:row>21</xdr:row>
      <xdr:rowOff>8966</xdr:rowOff>
    </xdr:from>
    <xdr:to>
      <xdr:col>12</xdr:col>
      <xdr:colOff>537882</xdr:colOff>
      <xdr:row>46</xdr:row>
      <xdr:rowOff>44824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B8BEA0F-99C2-85E3-8865-33B83219B76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13" displayName="Table13" ref="B5:F23" totalsRowShown="0" headerRowDxfId="8">
  <autoFilter ref="B5:F23" xr:uid="{00000000-0009-0000-0100-000002000000}"/>
  <tableColumns count="5">
    <tableColumn id="1" xr3:uid="{00000000-0010-0000-0000-000001000000}" name="Thành phần" dataDxfId="7"/>
    <tableColumn id="2" xr3:uid="{00000000-0010-0000-0000-000002000000}" name="Đơn vị (Chén, thìa cà phê, ...)" dataDxfId="6"/>
    <tableColumn id="3" xr3:uid="{00000000-0010-0000-0000-000003000000}" name="Đơn vị thanh toán" dataDxfId="5"/>
    <tableColumn id="4" xr3:uid="{00000000-0010-0000-0000-000004000000}" name="Quy đổi" dataDxfId="4"/>
    <tableColumn id="6" xr3:uid="{00000000-0010-0000-0000-000006000000}" name="Giá tiền" dataDxfId="3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B2:I20"/>
  <sheetViews>
    <sheetView workbookViewId="0">
      <selection activeCell="I4" sqref="I4"/>
    </sheetView>
  </sheetViews>
  <sheetFormatPr defaultRowHeight="14.4" x14ac:dyDescent="0.3"/>
  <cols>
    <col min="1" max="1" width="19.44140625" customWidth="1"/>
    <col min="2" max="2" width="28.88671875" customWidth="1"/>
    <col min="3" max="3" width="18.88671875" customWidth="1"/>
    <col min="5" max="5" width="27.109375" customWidth="1"/>
    <col min="6" max="6" width="25.5546875" customWidth="1"/>
    <col min="7" max="7" width="10" customWidth="1"/>
  </cols>
  <sheetData>
    <row r="2" spans="2:9" ht="15" thickBot="1" x14ac:dyDescent="0.35"/>
    <row r="3" spans="2:9" ht="26.25" customHeight="1" x14ac:dyDescent="0.3">
      <c r="B3" s="65" t="s">
        <v>95</v>
      </c>
      <c r="C3" s="66"/>
      <c r="E3" s="65" t="s">
        <v>96</v>
      </c>
      <c r="F3" s="66"/>
      <c r="H3" s="21" t="s">
        <v>80</v>
      </c>
      <c r="I3" s="22" t="s">
        <v>81</v>
      </c>
    </row>
    <row r="4" spans="2:9" ht="15" thickBot="1" x14ac:dyDescent="0.35">
      <c r="B4" s="24" t="s">
        <v>82</v>
      </c>
      <c r="C4" s="25" t="s">
        <v>83</v>
      </c>
      <c r="E4" s="24" t="s">
        <v>82</v>
      </c>
      <c r="F4" s="25" t="s">
        <v>83</v>
      </c>
      <c r="H4" s="20" t="s">
        <v>2</v>
      </c>
      <c r="I4" s="23">
        <f>IF(Pay!C26="VND",1,23000)</f>
        <v>1</v>
      </c>
    </row>
    <row r="5" spans="2:9" x14ac:dyDescent="0.3">
      <c r="B5" s="26" t="str">
        <f>Recipes!C3</f>
        <v>Bánh quy sô cô la</v>
      </c>
      <c r="C5" s="27">
        <v>4</v>
      </c>
      <c r="E5" s="26" t="str">
        <f>Recipes!C3</f>
        <v>Bánh quy sô cô la</v>
      </c>
      <c r="F5" s="27">
        <v>2</v>
      </c>
    </row>
    <row r="6" spans="2:9" x14ac:dyDescent="0.3">
      <c r="B6" s="26" t="str">
        <f>Recipes!H3</f>
        <v>Bánh nướng với men chanh</v>
      </c>
      <c r="C6" s="27">
        <v>2</v>
      </c>
      <c r="E6" s="26" t="str">
        <f>Recipes!H3</f>
        <v>Bánh nướng với men chanh</v>
      </c>
      <c r="F6" s="27">
        <v>4</v>
      </c>
    </row>
    <row r="7" spans="2:9" x14ac:dyDescent="0.3">
      <c r="B7" s="26" t="str">
        <f>Recipes!M3</f>
        <v>Bánh quy gừng</v>
      </c>
      <c r="C7" s="27">
        <v>5</v>
      </c>
      <c r="E7" s="26" t="str">
        <f>Recipes!M3</f>
        <v>Bánh quy gừng</v>
      </c>
      <c r="F7" s="27">
        <v>2</v>
      </c>
    </row>
    <row r="8" spans="2:9" x14ac:dyDescent="0.3">
      <c r="B8" s="26" t="str">
        <f>Recipes!C22</f>
        <v>Bánh sừng bò sô cô la</v>
      </c>
      <c r="C8" s="27">
        <v>1</v>
      </c>
      <c r="E8" s="26" t="str">
        <f>Recipes!C22</f>
        <v>Bánh sừng bò sô cô la</v>
      </c>
      <c r="F8" s="27">
        <v>1</v>
      </c>
    </row>
    <row r="9" spans="2:9" x14ac:dyDescent="0.3">
      <c r="B9" s="26" t="str">
        <f>Recipes!H22</f>
        <v>Bánh quế</v>
      </c>
      <c r="C9" s="27">
        <v>4</v>
      </c>
      <c r="E9" s="26" t="str">
        <f>Recipes!H22</f>
        <v>Bánh quế</v>
      </c>
      <c r="F9" s="27">
        <v>4</v>
      </c>
    </row>
    <row r="10" spans="2:9" ht="15" thickBot="1" x14ac:dyDescent="0.35">
      <c r="B10" s="28" t="str">
        <f>Recipes!M22</f>
        <v>Công thức mới (tuỳ chọn)</v>
      </c>
      <c r="C10" s="29">
        <v>0</v>
      </c>
      <c r="E10" s="26" t="str">
        <f>Recipes!M22</f>
        <v>Công thức mới (tuỳ chọn)</v>
      </c>
      <c r="F10" s="29">
        <v>0</v>
      </c>
    </row>
    <row r="12" spans="2:9" ht="15" thickBot="1" x14ac:dyDescent="0.35"/>
    <row r="13" spans="2:9" x14ac:dyDescent="0.3">
      <c r="B13" s="65" t="s">
        <v>97</v>
      </c>
      <c r="C13" s="66"/>
      <c r="E13" s="65" t="s">
        <v>98</v>
      </c>
      <c r="F13" s="66"/>
    </row>
    <row r="14" spans="2:9" x14ac:dyDescent="0.3">
      <c r="B14" s="24" t="s">
        <v>82</v>
      </c>
      <c r="C14" s="25" t="s">
        <v>83</v>
      </c>
      <c r="E14" s="24" t="s">
        <v>82</v>
      </c>
      <c r="F14" s="25" t="s">
        <v>83</v>
      </c>
    </row>
    <row r="15" spans="2:9" x14ac:dyDescent="0.3">
      <c r="B15" s="26" t="str">
        <f>Recipes!C3</f>
        <v>Bánh quy sô cô la</v>
      </c>
      <c r="C15" s="27">
        <v>5</v>
      </c>
      <c r="E15" s="26" t="str">
        <f>Recipes!C3</f>
        <v>Bánh quy sô cô la</v>
      </c>
      <c r="F15" s="27">
        <v>3</v>
      </c>
    </row>
    <row r="16" spans="2:9" x14ac:dyDescent="0.3">
      <c r="B16" s="26" t="str">
        <f>Recipes!H3</f>
        <v>Bánh nướng với men chanh</v>
      </c>
      <c r="C16" s="27">
        <v>1</v>
      </c>
      <c r="E16" s="26" t="str">
        <f>Recipes!H3</f>
        <v>Bánh nướng với men chanh</v>
      </c>
      <c r="F16" s="27">
        <v>2</v>
      </c>
    </row>
    <row r="17" spans="2:6" x14ac:dyDescent="0.3">
      <c r="B17" s="26" t="str">
        <f>Recipes!M3</f>
        <v>Bánh quy gừng</v>
      </c>
      <c r="C17" s="27">
        <v>5</v>
      </c>
      <c r="E17" s="26" t="str">
        <f>Recipes!M3</f>
        <v>Bánh quy gừng</v>
      </c>
      <c r="F17" s="27">
        <v>1</v>
      </c>
    </row>
    <row r="18" spans="2:6" x14ac:dyDescent="0.3">
      <c r="B18" s="26" t="str">
        <f>Recipes!C22</f>
        <v>Bánh sừng bò sô cô la</v>
      </c>
      <c r="C18" s="27">
        <v>6</v>
      </c>
      <c r="E18" s="26" t="str">
        <f>Recipes!C22</f>
        <v>Bánh sừng bò sô cô la</v>
      </c>
      <c r="F18" s="27">
        <v>6</v>
      </c>
    </row>
    <row r="19" spans="2:6" x14ac:dyDescent="0.3">
      <c r="B19" s="26" t="str">
        <f>Recipes!H22</f>
        <v>Bánh quế</v>
      </c>
      <c r="C19" s="27">
        <v>1</v>
      </c>
      <c r="E19" s="26" t="str">
        <f>Recipes!H22</f>
        <v>Bánh quế</v>
      </c>
      <c r="F19" s="27">
        <v>1</v>
      </c>
    </row>
    <row r="20" spans="2:6" ht="15" thickBot="1" x14ac:dyDescent="0.35">
      <c r="B20" s="28" t="str">
        <f>Recipes!M22</f>
        <v>Công thức mới (tuỳ chọn)</v>
      </c>
      <c r="C20" s="29">
        <v>0</v>
      </c>
      <c r="E20" s="28" t="str">
        <f>Recipes!M22</f>
        <v>Công thức mới (tuỳ chọn)</v>
      </c>
      <c r="F20" s="29">
        <v>0</v>
      </c>
    </row>
  </sheetData>
  <mergeCells count="4">
    <mergeCell ref="B3:C3"/>
    <mergeCell ref="E3:F3"/>
    <mergeCell ref="B13:C13"/>
    <mergeCell ref="E13:F13"/>
  </mergeCells>
  <dataValidations count="1">
    <dataValidation type="whole" allowBlank="1" showInputMessage="1" showErrorMessage="1" sqref="C5:C10 F5:F10 C15:C20 F15:F20" xr:uid="{00000000-0002-0000-0000-000000000000}">
      <formula1>0</formula1>
      <formula2>20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F23"/>
  <sheetViews>
    <sheetView workbookViewId="0">
      <selection activeCell="E22" sqref="E22"/>
    </sheetView>
  </sheetViews>
  <sheetFormatPr defaultRowHeight="14.4" x14ac:dyDescent="0.3"/>
  <cols>
    <col min="2" max="2" width="27.88671875" customWidth="1"/>
    <col min="3" max="3" width="28.33203125" customWidth="1"/>
    <col min="4" max="4" width="26.88671875" customWidth="1"/>
    <col min="5" max="5" width="25.88671875" customWidth="1"/>
    <col min="6" max="6" width="29.88671875" customWidth="1"/>
    <col min="8" max="8" width="9.5546875" customWidth="1"/>
  </cols>
  <sheetData>
    <row r="2" spans="2:6" ht="15" thickBot="1" x14ac:dyDescent="0.35"/>
    <row r="3" spans="2:6" x14ac:dyDescent="0.3">
      <c r="B3" s="67" t="s">
        <v>72</v>
      </c>
      <c r="C3" s="68"/>
      <c r="D3" s="68"/>
      <c r="E3" s="68"/>
      <c r="F3" s="69"/>
    </row>
    <row r="4" spans="2:6" x14ac:dyDescent="0.3">
      <c r="B4" s="70"/>
      <c r="C4" s="71"/>
      <c r="D4" s="71"/>
      <c r="E4" s="71"/>
      <c r="F4" s="72"/>
    </row>
    <row r="5" spans="2:6" x14ac:dyDescent="0.3">
      <c r="B5" s="6" t="s">
        <v>21</v>
      </c>
      <c r="C5" s="4" t="s">
        <v>104</v>
      </c>
      <c r="D5" s="4" t="s">
        <v>22</v>
      </c>
      <c r="E5" s="4" t="s">
        <v>47</v>
      </c>
      <c r="F5" s="7" t="s">
        <v>48</v>
      </c>
    </row>
    <row r="6" spans="2:6" x14ac:dyDescent="0.3">
      <c r="B6" s="8" t="s">
        <v>3</v>
      </c>
      <c r="C6" s="5" t="s">
        <v>69</v>
      </c>
      <c r="D6" s="5" t="s">
        <v>20</v>
      </c>
      <c r="E6" s="5" t="s">
        <v>70</v>
      </c>
      <c r="F6" s="9" t="s">
        <v>49</v>
      </c>
    </row>
    <row r="7" spans="2:6" x14ac:dyDescent="0.3">
      <c r="B7" s="8" t="s">
        <v>4</v>
      </c>
      <c r="C7" s="5" t="s">
        <v>17</v>
      </c>
      <c r="D7" s="5" t="s">
        <v>24</v>
      </c>
      <c r="E7" s="5" t="s">
        <v>28</v>
      </c>
      <c r="F7" s="9" t="s">
        <v>50</v>
      </c>
    </row>
    <row r="8" spans="2:6" x14ac:dyDescent="0.3">
      <c r="B8" s="8" t="s">
        <v>5</v>
      </c>
      <c r="C8" s="5" t="s">
        <v>17</v>
      </c>
      <c r="D8" s="5" t="s">
        <v>32</v>
      </c>
      <c r="E8" s="5" t="s">
        <v>29</v>
      </c>
      <c r="F8" s="9" t="s">
        <v>51</v>
      </c>
    </row>
    <row r="9" spans="2:6" x14ac:dyDescent="0.3">
      <c r="B9" s="8" t="s">
        <v>0</v>
      </c>
      <c r="C9" s="5" t="s">
        <v>18</v>
      </c>
      <c r="D9" s="5" t="s">
        <v>33</v>
      </c>
      <c r="E9" s="5" t="s">
        <v>30</v>
      </c>
      <c r="F9" s="9" t="s">
        <v>52</v>
      </c>
    </row>
    <row r="10" spans="2:6" x14ac:dyDescent="0.3">
      <c r="B10" s="8" t="s">
        <v>6</v>
      </c>
      <c r="C10" s="5" t="s">
        <v>19</v>
      </c>
      <c r="D10" s="5" t="s">
        <v>34</v>
      </c>
      <c r="E10" s="5" t="s">
        <v>31</v>
      </c>
      <c r="F10" s="9" t="s">
        <v>53</v>
      </c>
    </row>
    <row r="11" spans="2:6" x14ac:dyDescent="0.3">
      <c r="B11" s="8" t="s">
        <v>1</v>
      </c>
      <c r="C11" s="5" t="s">
        <v>35</v>
      </c>
      <c r="D11" s="5" t="s">
        <v>55</v>
      </c>
      <c r="E11" s="5" t="s">
        <v>54</v>
      </c>
      <c r="F11" s="9" t="s">
        <v>56</v>
      </c>
    </row>
    <row r="12" spans="2:6" x14ac:dyDescent="0.3">
      <c r="B12" s="8" t="s">
        <v>7</v>
      </c>
      <c r="C12" s="5" t="s">
        <v>18</v>
      </c>
      <c r="D12" s="5" t="s">
        <v>24</v>
      </c>
      <c r="E12" s="5" t="s">
        <v>36</v>
      </c>
      <c r="F12" s="9" t="s">
        <v>57</v>
      </c>
    </row>
    <row r="13" spans="2:6" x14ac:dyDescent="0.3">
      <c r="B13" s="8" t="s">
        <v>8</v>
      </c>
      <c r="C13" s="5" t="s">
        <v>17</v>
      </c>
      <c r="D13" s="5" t="s">
        <v>24</v>
      </c>
      <c r="E13" s="5" t="s">
        <v>117</v>
      </c>
      <c r="F13" s="9" t="s">
        <v>58</v>
      </c>
    </row>
    <row r="14" spans="2:6" x14ac:dyDescent="0.3">
      <c r="B14" s="8" t="s">
        <v>9</v>
      </c>
      <c r="C14" s="5" t="s">
        <v>17</v>
      </c>
      <c r="D14" s="5" t="s">
        <v>34</v>
      </c>
      <c r="E14" s="5" t="s">
        <v>118</v>
      </c>
      <c r="F14" s="9" t="s">
        <v>59</v>
      </c>
    </row>
    <row r="15" spans="2:6" x14ac:dyDescent="0.3">
      <c r="B15" s="8" t="s">
        <v>10</v>
      </c>
      <c r="C15" s="5" t="s">
        <v>17</v>
      </c>
      <c r="D15" s="5" t="s">
        <v>37</v>
      </c>
      <c r="E15" s="5" t="s">
        <v>38</v>
      </c>
      <c r="F15" s="9" t="s">
        <v>60</v>
      </c>
    </row>
    <row r="16" spans="2:6" x14ac:dyDescent="0.3">
      <c r="B16" s="8" t="s">
        <v>39</v>
      </c>
      <c r="C16" s="5" t="s">
        <v>18</v>
      </c>
      <c r="D16" s="5" t="s">
        <v>26</v>
      </c>
      <c r="E16" s="5" t="s">
        <v>40</v>
      </c>
      <c r="F16" s="9" t="s">
        <v>61</v>
      </c>
    </row>
    <row r="17" spans="2:6" x14ac:dyDescent="0.3">
      <c r="B17" s="8" t="s">
        <v>11</v>
      </c>
      <c r="C17" s="5" t="s">
        <v>18</v>
      </c>
      <c r="D17" s="5" t="s">
        <v>25</v>
      </c>
      <c r="E17" s="5" t="s">
        <v>41</v>
      </c>
      <c r="F17" s="9" t="s">
        <v>62</v>
      </c>
    </row>
    <row r="18" spans="2:6" x14ac:dyDescent="0.3">
      <c r="B18" s="8" t="s">
        <v>12</v>
      </c>
      <c r="C18" s="5" t="s">
        <v>17</v>
      </c>
      <c r="D18" s="5" t="s">
        <v>24</v>
      </c>
      <c r="E18" s="5" t="s">
        <v>42</v>
      </c>
      <c r="F18" s="9" t="s">
        <v>63</v>
      </c>
    </row>
    <row r="19" spans="2:6" x14ac:dyDescent="0.3">
      <c r="B19" s="8" t="s">
        <v>13</v>
      </c>
      <c r="C19" s="5" t="s">
        <v>17</v>
      </c>
      <c r="D19" s="5" t="s">
        <v>32</v>
      </c>
      <c r="E19" s="5" t="s">
        <v>43</v>
      </c>
      <c r="F19" s="9" t="s">
        <v>64</v>
      </c>
    </row>
    <row r="20" spans="2:6" x14ac:dyDescent="0.3">
      <c r="B20" s="8" t="s">
        <v>14</v>
      </c>
      <c r="C20" s="5" t="s">
        <v>18</v>
      </c>
      <c r="D20" s="5" t="s">
        <v>26</v>
      </c>
      <c r="E20" s="5" t="s">
        <v>44</v>
      </c>
      <c r="F20" s="9" t="s">
        <v>65</v>
      </c>
    </row>
    <row r="21" spans="2:6" x14ac:dyDescent="0.3">
      <c r="B21" s="8" t="s">
        <v>88</v>
      </c>
      <c r="C21" s="5" t="s">
        <v>18</v>
      </c>
      <c r="D21" s="5" t="s">
        <v>27</v>
      </c>
      <c r="E21" s="5" t="s">
        <v>45</v>
      </c>
      <c r="F21" s="9" t="s">
        <v>66</v>
      </c>
    </row>
    <row r="22" spans="2:6" x14ac:dyDescent="0.3">
      <c r="B22" s="8" t="s">
        <v>16</v>
      </c>
      <c r="C22" s="5" t="s">
        <v>17</v>
      </c>
      <c r="D22" s="5" t="s">
        <v>23</v>
      </c>
      <c r="E22" s="5" t="s">
        <v>119</v>
      </c>
      <c r="F22" s="9" t="s">
        <v>67</v>
      </c>
    </row>
    <row r="23" spans="2:6" ht="15" thickBot="1" x14ac:dyDescent="0.35">
      <c r="B23" s="10" t="s">
        <v>15</v>
      </c>
      <c r="C23" s="11" t="s">
        <v>35</v>
      </c>
      <c r="D23" s="11" t="s">
        <v>34</v>
      </c>
      <c r="E23" s="11" t="s">
        <v>46</v>
      </c>
      <c r="F23" s="12" t="s">
        <v>68</v>
      </c>
    </row>
  </sheetData>
  <mergeCells count="1">
    <mergeCell ref="B3:F4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P40"/>
  <sheetViews>
    <sheetView topLeftCell="A23" zoomScale="85" zoomScaleNormal="85" workbookViewId="0">
      <selection activeCell="E25" sqref="E25"/>
    </sheetView>
  </sheetViews>
  <sheetFormatPr defaultRowHeight="14.4" x14ac:dyDescent="0.3"/>
  <cols>
    <col min="2" max="2" width="14.33203125" customWidth="1"/>
    <col min="3" max="3" width="19.109375" customWidth="1"/>
    <col min="4" max="4" width="19.44140625" customWidth="1"/>
    <col min="5" max="5" width="18" customWidth="1"/>
    <col min="6" max="6" width="12.88671875" customWidth="1"/>
    <col min="7" max="7" width="20" customWidth="1"/>
    <col min="8" max="8" width="22" customWidth="1"/>
    <col min="9" max="10" width="18.6640625" customWidth="1"/>
    <col min="11" max="11" width="15.88671875" customWidth="1"/>
    <col min="12" max="12" width="21.109375" customWidth="1"/>
    <col min="13" max="13" width="18.44140625" customWidth="1"/>
    <col min="14" max="14" width="19.33203125" customWidth="1"/>
    <col min="15" max="15" width="18.88671875" customWidth="1"/>
    <col min="16" max="16" width="14" customWidth="1"/>
  </cols>
  <sheetData>
    <row r="2" spans="3:15" ht="15" thickBot="1" x14ac:dyDescent="0.35"/>
    <row r="3" spans="3:15" x14ac:dyDescent="0.3">
      <c r="C3" s="73" t="s">
        <v>74</v>
      </c>
      <c r="D3" s="74"/>
      <c r="E3" s="75"/>
      <c r="H3" s="73" t="s">
        <v>75</v>
      </c>
      <c r="I3" s="74"/>
      <c r="J3" s="75"/>
      <c r="M3" s="73" t="s">
        <v>76</v>
      </c>
      <c r="N3" s="74"/>
      <c r="O3" s="75"/>
    </row>
    <row r="4" spans="3:15" x14ac:dyDescent="0.3">
      <c r="C4" s="76"/>
      <c r="D4" s="77"/>
      <c r="E4" s="78"/>
      <c r="H4" s="76"/>
      <c r="I4" s="77"/>
      <c r="J4" s="78"/>
      <c r="M4" s="76"/>
      <c r="N4" s="77"/>
      <c r="O4" s="78"/>
    </row>
    <row r="5" spans="3:15" x14ac:dyDescent="0.3">
      <c r="C5" s="17" t="s">
        <v>84</v>
      </c>
      <c r="D5" s="13" t="s">
        <v>86</v>
      </c>
      <c r="E5" s="18" t="s">
        <v>71</v>
      </c>
      <c r="H5" s="17" t="s">
        <v>84</v>
      </c>
      <c r="I5" s="13" t="s">
        <v>86</v>
      </c>
      <c r="J5" s="18" t="s">
        <v>71</v>
      </c>
      <c r="M5" s="17" t="s">
        <v>84</v>
      </c>
      <c r="N5" s="13" t="s">
        <v>86</v>
      </c>
      <c r="O5" s="18" t="s">
        <v>71</v>
      </c>
    </row>
    <row r="6" spans="3:15" x14ac:dyDescent="0.3">
      <c r="C6" s="19" t="s">
        <v>5</v>
      </c>
      <c r="D6" s="14">
        <v>2.25</v>
      </c>
      <c r="E6" s="30" t="str">
        <f>VLOOKUP(C6,Table13[[#All],[Thành phần]:[Đơn vị (Chén, thìa cà phê, ...)]],2,FALSE)</f>
        <v>Chén</v>
      </c>
      <c r="H6" s="19" t="s">
        <v>5</v>
      </c>
      <c r="I6" s="15">
        <v>2</v>
      </c>
      <c r="J6" s="30" t="str">
        <f>VLOOKUP(H6,Table13[[#All],[Thành phần]:[Đơn vị (Chén, thìa cà phê, ...)]],2,FALSE)</f>
        <v>Chén</v>
      </c>
      <c r="M6" s="19" t="s">
        <v>10</v>
      </c>
      <c r="N6" s="14">
        <v>0.75</v>
      </c>
      <c r="O6" s="30" t="str">
        <f>VLOOKUP(M6,Table13[[#All],[Thành phần]:[Đơn vị (Chén, thìa cà phê, ...)]],2,FALSE)</f>
        <v>Chén</v>
      </c>
    </row>
    <row r="7" spans="3:15" x14ac:dyDescent="0.3">
      <c r="C7" s="19" t="s">
        <v>0</v>
      </c>
      <c r="D7" s="14">
        <v>1</v>
      </c>
      <c r="E7" s="30" t="str">
        <f>VLOOKUP(C7,Table13[[#All],[Thành phần]:[Đơn vị (Chén, thìa cà phê, ...)]],2,FALSE)</f>
        <v>Thìa cà phê</v>
      </c>
      <c r="H7" s="19" t="s">
        <v>4</v>
      </c>
      <c r="I7" s="15">
        <v>0.5</v>
      </c>
      <c r="J7" s="30" t="str">
        <f>VLOOKUP(H7,Table13[[#All],[Thành phần]:[Đơn vị (Chén, thìa cà phê, ...)]],2,FALSE)</f>
        <v>Chén</v>
      </c>
      <c r="M7" s="19" t="s">
        <v>4</v>
      </c>
      <c r="N7" s="14">
        <v>1</v>
      </c>
      <c r="O7" s="30" t="str">
        <f>VLOOKUP(M7,Table13[[#All],[Thành phần]:[Đơn vị (Chén, thìa cà phê, ...)]],2,FALSE)</f>
        <v>Chén</v>
      </c>
    </row>
    <row r="8" spans="3:15" x14ac:dyDescent="0.3">
      <c r="C8" s="19" t="s">
        <v>7</v>
      </c>
      <c r="D8" s="14">
        <v>0.5</v>
      </c>
      <c r="E8" s="30" t="str">
        <f>VLOOKUP(C8,Table13[[#All],[Thành phần]:[Đơn vị (Chén, thìa cà phê, ...)]],2,FALSE)</f>
        <v>Thìa cà phê</v>
      </c>
      <c r="H8" s="19" t="s">
        <v>6</v>
      </c>
      <c r="I8" s="15">
        <v>1</v>
      </c>
      <c r="J8" s="30" t="str">
        <f>VLOOKUP(H8,Table13[[#All],[Thành phần]:[Đơn vị (Chén, thìa cà phê, ...)]],2,FALSE)</f>
        <v>Thìa canh</v>
      </c>
      <c r="M8" s="19" t="s">
        <v>3</v>
      </c>
      <c r="N8" s="14">
        <v>1</v>
      </c>
      <c r="O8" s="30" t="str">
        <f>VLOOKUP(M8,Table13[[#All],[Thành phần]:[Đơn vị (Chén, thìa cà phê, ...)]],2,FALSE)</f>
        <v>Quả</v>
      </c>
    </row>
    <row r="9" spans="3:15" x14ac:dyDescent="0.3">
      <c r="C9" s="19" t="s">
        <v>10</v>
      </c>
      <c r="D9" s="14">
        <v>0</v>
      </c>
      <c r="E9" s="30" t="str">
        <f>VLOOKUP(C9,Table13[[#All],[Thành phần]:[Đơn vị (Chén, thìa cà phê, ...)]],2,FALSE)</f>
        <v>Chén</v>
      </c>
      <c r="H9" s="19" t="s">
        <v>7</v>
      </c>
      <c r="I9" s="15">
        <v>0.5</v>
      </c>
      <c r="J9" s="30" t="str">
        <f>VLOOKUP(H9,Table13[[#All],[Thành phần]:[Đơn vị (Chén, thìa cà phê, ...)]],2,FALSE)</f>
        <v>Thìa cà phê</v>
      </c>
      <c r="M9" s="19" t="s">
        <v>9</v>
      </c>
      <c r="N9" s="14">
        <v>0.25</v>
      </c>
      <c r="O9" s="30" t="str">
        <f>VLOOKUP(M9,Table13[[#All],[Thành phần]:[Đơn vị (Chén, thìa cà phê, ...)]],2,FALSE)</f>
        <v>Chén</v>
      </c>
    </row>
    <row r="10" spans="3:15" x14ac:dyDescent="0.3">
      <c r="C10" s="19" t="s">
        <v>4</v>
      </c>
      <c r="D10" s="14">
        <v>0.75</v>
      </c>
      <c r="E10" s="30" t="str">
        <f>VLOOKUP(C10,Table13[[#All],[Thành phần]:[Đơn vị (Chén, thìa cà phê, ...)]],2,FALSE)</f>
        <v>Chén</v>
      </c>
      <c r="H10" s="19" t="s">
        <v>10</v>
      </c>
      <c r="I10" s="15">
        <v>0.5</v>
      </c>
      <c r="J10" s="30" t="str">
        <f>VLOOKUP(H10,Table13[[#All],[Thành phần]:[Đơn vị (Chén, thìa cà phê, ...)]],2,FALSE)</f>
        <v>Chén</v>
      </c>
      <c r="M10" s="19" t="s">
        <v>0</v>
      </c>
      <c r="N10" s="14">
        <v>1</v>
      </c>
      <c r="O10" s="30" t="str">
        <f>VLOOKUP(M10,Table13[[#All],[Thành phần]:[Đơn vị (Chén, thìa cà phê, ...)]],2,FALSE)</f>
        <v>Thìa cà phê</v>
      </c>
    </row>
    <row r="11" spans="3:15" x14ac:dyDescent="0.3">
      <c r="C11" s="19" t="s">
        <v>8</v>
      </c>
      <c r="D11" s="14">
        <v>0.75</v>
      </c>
      <c r="E11" s="30" t="str">
        <f>VLOOKUP(C11,Table13[[#All],[Thành phần]:[Đơn vị (Chén, thìa cà phê, ...)]],2,FALSE)</f>
        <v>Chén</v>
      </c>
      <c r="H11" s="19" t="s">
        <v>3</v>
      </c>
      <c r="I11" s="15">
        <v>1</v>
      </c>
      <c r="J11" s="30" t="str">
        <f>VLOOKUP(H11,Table13[[#All],[Thành phần]:[Đơn vị (Chén, thìa cà phê, ...)]],2,FALSE)</f>
        <v>Quả</v>
      </c>
      <c r="M11" s="19" t="s">
        <v>11</v>
      </c>
      <c r="N11" s="14">
        <v>0.75</v>
      </c>
      <c r="O11" s="30" t="str">
        <f>VLOOKUP(M11,Table13[[#All],[Thành phần]:[Đơn vị (Chén, thìa cà phê, ...)]],2,FALSE)</f>
        <v>Thìa cà phê</v>
      </c>
    </row>
    <row r="12" spans="3:15" x14ac:dyDescent="0.3">
      <c r="C12" s="19" t="s">
        <v>3</v>
      </c>
      <c r="D12" s="14">
        <v>2</v>
      </c>
      <c r="E12" s="30" t="str">
        <f>VLOOKUP(C12,Table13[[#All],[Thành phần]:[Đơn vị (Chén, thìa cà phê, ...)]],2,FALSE)</f>
        <v>Quả</v>
      </c>
      <c r="H12" s="19" t="s">
        <v>12</v>
      </c>
      <c r="I12" s="15">
        <v>0.5</v>
      </c>
      <c r="J12" s="30" t="str">
        <f>VLOOKUP(H12,Table13[[#All],[Thành phần]:[Đơn vị (Chén, thìa cà phê, ...)]],2,FALSE)</f>
        <v>Chén</v>
      </c>
      <c r="M12" s="19" t="s">
        <v>7</v>
      </c>
      <c r="N12" s="14">
        <v>0.25</v>
      </c>
      <c r="O12" s="30" t="str">
        <f>VLOOKUP(M12,Table13[[#All],[Thành phần]:[Đơn vị (Chén, thìa cà phê, ...)]],2,FALSE)</f>
        <v>Thìa cà phê</v>
      </c>
    </row>
    <row r="13" spans="3:15" ht="15" thickBot="1" x14ac:dyDescent="0.35">
      <c r="C13" s="19" t="s">
        <v>39</v>
      </c>
      <c r="D13" s="14">
        <v>1</v>
      </c>
      <c r="E13" s="30" t="str">
        <f>VLOOKUP(C13,Table13[[#All],[Thành phần]:[Đơn vị (Chén, thìa cà phê, ...)]],2,FALSE)</f>
        <v>Thìa cà phê</v>
      </c>
      <c r="H13" s="19" t="s">
        <v>14</v>
      </c>
      <c r="I13" s="15">
        <v>4</v>
      </c>
      <c r="J13" s="30" t="str">
        <f>VLOOKUP(H13,Table13[[#All],[Thành phần]:[Đơn vị (Chén, thìa cà phê, ...)]],2,FALSE)</f>
        <v>Thìa cà phê</v>
      </c>
      <c r="M13" s="20" t="s">
        <v>16</v>
      </c>
      <c r="N13" s="31">
        <v>0.5</v>
      </c>
      <c r="O13" s="30" t="str">
        <f>VLOOKUP(M13,Table13[[#All],[Thành phần]:[Đơn vị (Chén, thìa cà phê, ...)]],2,FALSE)</f>
        <v>Chén</v>
      </c>
    </row>
    <row r="14" spans="3:15" ht="15" thickBot="1" x14ac:dyDescent="0.35">
      <c r="C14" s="20" t="s">
        <v>1</v>
      </c>
      <c r="D14" s="31">
        <v>12</v>
      </c>
      <c r="E14" s="30" t="str">
        <f>VLOOKUP(C14,Table13[[#All],[Thành phần]:[Đơn vị (Chén, thìa cà phê, ...)]],2,FALSE)</f>
        <v>Chiếc</v>
      </c>
      <c r="H14" s="19" t="s">
        <v>88</v>
      </c>
      <c r="I14" s="15">
        <v>1.5</v>
      </c>
      <c r="J14" s="30" t="str">
        <f>VLOOKUP(H14,Table13[[#All],[Thành phần]:[Đơn vị (Chén, thìa cà phê, ...)]],2,FALSE)</f>
        <v>Thìa cà phê</v>
      </c>
      <c r="N14" s="3"/>
    </row>
    <row r="15" spans="3:15" ht="15" thickBot="1" x14ac:dyDescent="0.35">
      <c r="D15" s="3"/>
      <c r="H15" s="20" t="s">
        <v>13</v>
      </c>
      <c r="I15" s="32">
        <v>1</v>
      </c>
      <c r="J15" s="30" t="str">
        <f>VLOOKUP(H15,Table13[[#All],[Thành phần]:[Đơn vị (Chén, thìa cà phê, ...)]],2,FALSE)</f>
        <v>Chén</v>
      </c>
      <c r="N15" s="3"/>
    </row>
    <row r="16" spans="3:15" x14ac:dyDescent="0.3">
      <c r="I16" s="3"/>
      <c r="N16" s="3"/>
    </row>
    <row r="17" spans="2:16" ht="15" thickBot="1" x14ac:dyDescent="0.35">
      <c r="N17" s="3"/>
    </row>
    <row r="18" spans="2:16" x14ac:dyDescent="0.3">
      <c r="C18" s="37" t="s">
        <v>91</v>
      </c>
      <c r="D18" s="38" t="s">
        <v>92</v>
      </c>
      <c r="E18" s="39" t="s">
        <v>94</v>
      </c>
      <c r="F18" s="40" t="s">
        <v>93</v>
      </c>
      <c r="H18" s="41" t="s">
        <v>91</v>
      </c>
      <c r="I18" s="38" t="s">
        <v>92</v>
      </c>
      <c r="J18" s="39" t="s">
        <v>94</v>
      </c>
      <c r="K18" s="40" t="s">
        <v>93</v>
      </c>
      <c r="M18" s="37" t="s">
        <v>91</v>
      </c>
      <c r="N18" s="38" t="s">
        <v>92</v>
      </c>
      <c r="O18" s="39" t="s">
        <v>94</v>
      </c>
      <c r="P18" s="40" t="s">
        <v>93</v>
      </c>
    </row>
    <row r="19" spans="2:16" ht="15" thickBot="1" x14ac:dyDescent="0.35">
      <c r="B19" s="1" t="s">
        <v>73</v>
      </c>
      <c r="C19" s="61">
        <f>Dashboard!C5</f>
        <v>4</v>
      </c>
      <c r="D19" s="61">
        <f>Dashboard!F5</f>
        <v>2</v>
      </c>
      <c r="E19" s="61">
        <f>Dashboard!C15</f>
        <v>5</v>
      </c>
      <c r="F19" s="61">
        <f>Dashboard!F15</f>
        <v>3</v>
      </c>
      <c r="H19" s="61">
        <f>Dashboard!C6</f>
        <v>2</v>
      </c>
      <c r="I19" s="61">
        <f>Dashboard!F6</f>
        <v>4</v>
      </c>
      <c r="J19" s="61">
        <f>Dashboard!C16</f>
        <v>1</v>
      </c>
      <c r="K19" s="61">
        <f>Dashboard!F16</f>
        <v>2</v>
      </c>
      <c r="M19" s="61">
        <f>Dashboard!C7</f>
        <v>5</v>
      </c>
      <c r="N19" s="61">
        <f>Dashboard!F7</f>
        <v>2</v>
      </c>
      <c r="O19" s="61">
        <f>Dashboard!C17</f>
        <v>5</v>
      </c>
      <c r="P19" s="61">
        <f>Dashboard!F17</f>
        <v>1</v>
      </c>
    </row>
    <row r="21" spans="2:16" ht="15" thickBot="1" x14ac:dyDescent="0.35"/>
    <row r="22" spans="2:16" x14ac:dyDescent="0.3">
      <c r="C22" s="73" t="s">
        <v>77</v>
      </c>
      <c r="D22" s="74"/>
      <c r="E22" s="75"/>
      <c r="H22" s="73" t="s">
        <v>78</v>
      </c>
      <c r="I22" s="74"/>
      <c r="J22" s="75"/>
      <c r="M22" s="73" t="s">
        <v>79</v>
      </c>
      <c r="N22" s="74"/>
      <c r="O22" s="75"/>
    </row>
    <row r="23" spans="2:16" x14ac:dyDescent="0.3">
      <c r="C23" s="76"/>
      <c r="D23" s="77"/>
      <c r="E23" s="78"/>
      <c r="H23" s="76"/>
      <c r="I23" s="77"/>
      <c r="J23" s="78"/>
      <c r="M23" s="76"/>
      <c r="N23" s="77"/>
      <c r="O23" s="78"/>
    </row>
    <row r="24" spans="2:16" x14ac:dyDescent="0.3">
      <c r="C24" s="17" t="s">
        <v>84</v>
      </c>
      <c r="D24" s="13" t="s">
        <v>86</v>
      </c>
      <c r="E24" s="18" t="s">
        <v>71</v>
      </c>
      <c r="H24" s="17" t="s">
        <v>84</v>
      </c>
      <c r="I24" s="13" t="s">
        <v>86</v>
      </c>
      <c r="J24" s="18" t="s">
        <v>71</v>
      </c>
      <c r="M24" s="17" t="s">
        <v>84</v>
      </c>
      <c r="N24" s="13" t="s">
        <v>86</v>
      </c>
      <c r="O24" s="18" t="s">
        <v>71</v>
      </c>
    </row>
    <row r="25" spans="2:16" x14ac:dyDescent="0.3">
      <c r="C25" s="19" t="s">
        <v>10</v>
      </c>
      <c r="D25" s="14">
        <v>0.25</v>
      </c>
      <c r="E25" s="30" t="str">
        <f>VLOOKUP(C25,Table13[[#All],[Thành phần]:[Đơn vị (Chén, thìa cà phê, ...)]],2,FALSE)</f>
        <v>Chén</v>
      </c>
      <c r="H25" s="19" t="s">
        <v>15</v>
      </c>
      <c r="I25" s="14">
        <v>0.25</v>
      </c>
      <c r="J25" s="30" t="str">
        <f>VLOOKUP(H25,Table13[[#All],[Thành phần]:[Đơn vị (Chén, thìa cà phê, ...)]],2,FALSE)</f>
        <v>Chiếc</v>
      </c>
      <c r="M25" s="19" t="s">
        <v>1</v>
      </c>
      <c r="N25" s="16">
        <v>3</v>
      </c>
      <c r="O25" s="30" t="str">
        <f>VLOOKUP(M25,Table13[[#All],[Thành phần]:[Đơn vị (Chén, thìa cà phê, ...)]],2,FALSE)</f>
        <v>Chiếc</v>
      </c>
    </row>
    <row r="26" spans="2:16" x14ac:dyDescent="0.3">
      <c r="C26" s="19" t="s">
        <v>5</v>
      </c>
      <c r="D26" s="14">
        <v>4</v>
      </c>
      <c r="E26" s="30" t="str">
        <f>VLOOKUP(C26,Table13[[#All],[Thành phần]:[Đơn vị (Chén, thìa cà phê, ...)]],2,FALSE)</f>
        <v>Chén</v>
      </c>
      <c r="H26" s="19" t="s">
        <v>5</v>
      </c>
      <c r="I26" s="14">
        <v>4</v>
      </c>
      <c r="J26" s="30" t="str">
        <f>VLOOKUP(H26,Table13[[#All],[Thành phần]:[Đơn vị (Chén, thìa cà phê, ...)]],2,FALSE)</f>
        <v>Chén</v>
      </c>
      <c r="M26" s="19" t="s">
        <v>9</v>
      </c>
      <c r="N26" s="16">
        <v>0.25</v>
      </c>
      <c r="O26" s="30" t="str">
        <f>VLOOKUP(M26,Table13[[#All],[Thành phần]:[Đơn vị (Chén, thìa cà phê, ...)]],2,FALSE)</f>
        <v>Chén</v>
      </c>
    </row>
    <row r="27" spans="2:16" x14ac:dyDescent="0.3">
      <c r="C27" s="19" t="s">
        <v>4</v>
      </c>
      <c r="D27" s="14">
        <v>0.25</v>
      </c>
      <c r="E27" s="30" t="str">
        <f>VLOOKUP(C27,Table13[[#All],[Thành phần]:[Đơn vị (Chén, thìa cà phê, ...)]],2,FALSE)</f>
        <v>Chén</v>
      </c>
      <c r="H27" s="19" t="s">
        <v>4</v>
      </c>
      <c r="I27" s="14">
        <v>0.25</v>
      </c>
      <c r="J27" s="30" t="str">
        <f>VLOOKUP(H27,Table13[[#All],[Thành phần]:[Đơn vị (Chén, thìa cà phê, ...)]],2,FALSE)</f>
        <v>Chén</v>
      </c>
      <c r="M27" s="19" t="s">
        <v>4</v>
      </c>
      <c r="N27" s="16">
        <v>0.25</v>
      </c>
      <c r="O27" s="30" t="str">
        <f>VLOOKUP(M27,Table13[[#All],[Thành phần]:[Đơn vị (Chén, thìa cà phê, ...)]],2,FALSE)</f>
        <v>Chén</v>
      </c>
    </row>
    <row r="28" spans="2:16" x14ac:dyDescent="0.3">
      <c r="C28" s="19" t="s">
        <v>7</v>
      </c>
      <c r="D28" s="14">
        <v>2</v>
      </c>
      <c r="E28" s="30" t="str">
        <f>VLOOKUP(C28,Table13[[#All],[Thành phần]:[Đơn vị (Chén, thìa cà phê, ...)]],2,FALSE)</f>
        <v>Thìa cà phê</v>
      </c>
      <c r="H28" s="19" t="s">
        <v>7</v>
      </c>
      <c r="I28" s="14">
        <v>1.5</v>
      </c>
      <c r="J28" s="30" t="str">
        <f>VLOOKUP(H28,Table13[[#All],[Thành phần]:[Đơn vị (Chén, thìa cà phê, ...)]],2,FALSE)</f>
        <v>Thìa cà phê</v>
      </c>
      <c r="M28" s="19" t="s">
        <v>12</v>
      </c>
      <c r="N28" s="16">
        <v>0.5</v>
      </c>
      <c r="O28" s="30" t="str">
        <f>VLOOKUP(M28,Table13[[#All],[Thành phần]:[Đơn vị (Chén, thìa cà phê, ...)]],2,FALSE)</f>
        <v>Chén</v>
      </c>
    </row>
    <row r="29" spans="2:16" x14ac:dyDescent="0.3">
      <c r="C29" s="19" t="s">
        <v>15</v>
      </c>
      <c r="D29" s="14">
        <v>1</v>
      </c>
      <c r="E29" s="30" t="str">
        <f>VLOOKUP(C29,Table13[[#All],[Thành phần]:[Đơn vị (Chén, thìa cà phê, ...)]],2,FALSE)</f>
        <v>Chiếc</v>
      </c>
      <c r="H29" s="19" t="s">
        <v>12</v>
      </c>
      <c r="I29" s="14">
        <v>0.5</v>
      </c>
      <c r="J29" s="30" t="str">
        <f>VLOOKUP(H29,Table13[[#All],[Thành phần]:[Đơn vị (Chén, thìa cà phê, ...)]],2,FALSE)</f>
        <v>Chén</v>
      </c>
      <c r="M29" s="19" t="s">
        <v>11</v>
      </c>
      <c r="N29" s="16">
        <v>5</v>
      </c>
      <c r="O29" s="30" t="str">
        <f>VLOOKUP(M29,Table13[[#All],[Thành phần]:[Đơn vị (Chén, thìa cà phê, ...)]],2,FALSE)</f>
        <v>Thìa cà phê</v>
      </c>
    </row>
    <row r="30" spans="2:16" x14ac:dyDescent="0.3">
      <c r="C30" s="19" t="s">
        <v>1</v>
      </c>
      <c r="D30" s="14">
        <v>4</v>
      </c>
      <c r="E30" s="30" t="str">
        <f>VLOOKUP(C30,Table13[[#All],[Thành phần]:[Đơn vị (Chén, thìa cà phê, ...)]],2,FALSE)</f>
        <v>Chiếc</v>
      </c>
      <c r="H30" s="19" t="s">
        <v>10</v>
      </c>
      <c r="I30" s="14">
        <v>0.25</v>
      </c>
      <c r="J30" s="30" t="str">
        <f>VLOOKUP(H30,Table13[[#All],[Thành phần]:[Đơn vị (Chén, thìa cà phê, ...)]],2,FALSE)</f>
        <v>Chén</v>
      </c>
      <c r="M30" s="19" t="s">
        <v>7</v>
      </c>
      <c r="N30" s="16">
        <v>0.5</v>
      </c>
      <c r="O30" s="30" t="str">
        <f>VLOOKUP(M30,Table13[[#All],[Thành phần]:[Đơn vị (Chén, thìa cà phê, ...)]],2,FALSE)</f>
        <v>Thìa cà phê</v>
      </c>
    </row>
    <row r="31" spans="2:16" x14ac:dyDescent="0.3">
      <c r="C31" s="19" t="s">
        <v>13</v>
      </c>
      <c r="D31" s="14">
        <v>0.25</v>
      </c>
      <c r="E31" s="30" t="str">
        <f>VLOOKUP(C31,Table13[[#All],[Thành phần]:[Đơn vị (Chén, thìa cà phê, ...)]],2,FALSE)</f>
        <v>Chén</v>
      </c>
      <c r="H31" s="19" t="s">
        <v>3</v>
      </c>
      <c r="I31" s="14">
        <v>1</v>
      </c>
      <c r="J31" s="30" t="str">
        <f>VLOOKUP(H31,Table13[[#All],[Thành phần]:[Đơn vị (Chén, thìa cà phê, ...)]],2,FALSE)</f>
        <v>Quả</v>
      </c>
      <c r="M31" s="19" t="s">
        <v>14</v>
      </c>
      <c r="N31" s="16">
        <v>4</v>
      </c>
      <c r="O31" s="30" t="str">
        <f>VLOOKUP(M31,Table13[[#All],[Thành phần]:[Đơn vị (Chén, thìa cà phê, ...)]],2,FALSE)</f>
        <v>Thìa cà phê</v>
      </c>
    </row>
    <row r="32" spans="2:16" x14ac:dyDescent="0.3">
      <c r="C32" s="19" t="s">
        <v>3</v>
      </c>
      <c r="D32" s="14">
        <v>1</v>
      </c>
      <c r="E32" s="30" t="str">
        <f>VLOOKUP(C32,Table13[[#All],[Thành phần]:[Đơn vị (Chén, thìa cà phê, ...)]],2,FALSE)</f>
        <v>Quả</v>
      </c>
      <c r="H32" s="19" t="s">
        <v>8</v>
      </c>
      <c r="I32" s="14">
        <v>0.5</v>
      </c>
      <c r="J32" s="30" t="str">
        <f>VLOOKUP(H32,Table13[[#All],[Thành phần]:[Đơn vị (Chén, thìa cà phê, ...)]],2,FALSE)</f>
        <v>Chén</v>
      </c>
      <c r="M32" s="19" t="s">
        <v>88</v>
      </c>
      <c r="N32" s="16">
        <v>0.5</v>
      </c>
      <c r="O32" s="30" t="str">
        <f>VLOOKUP(M32,Table13[[#All],[Thành phần]:[Đơn vị (Chén, thìa cà phê, ...)]],2,FALSE)</f>
        <v>Thìa cà phê</v>
      </c>
    </row>
    <row r="33" spans="2:16" ht="15" thickBot="1" x14ac:dyDescent="0.35">
      <c r="C33" s="20" t="s">
        <v>12</v>
      </c>
      <c r="D33" s="31">
        <v>2</v>
      </c>
      <c r="E33" s="30" t="str">
        <f>VLOOKUP(C33,Table13[[#All],[Thành phần]:[Đơn vị (Chén, thìa cà phê, ...)]],2,FALSE)</f>
        <v>Chén</v>
      </c>
      <c r="H33" s="20" t="s">
        <v>11</v>
      </c>
      <c r="I33" s="31">
        <v>4</v>
      </c>
      <c r="J33" s="30" t="str">
        <f>VLOOKUP(H33,Table13[[#All],[Thành phần]:[Đơn vị (Chén, thìa cà phê, ...)]],2,FALSE)</f>
        <v>Thìa cà phê</v>
      </c>
      <c r="M33" s="19" t="s">
        <v>10</v>
      </c>
      <c r="N33" s="16">
        <v>1</v>
      </c>
      <c r="O33" s="30" t="str">
        <f>VLOOKUP(M33,Table13[[#All],[Thành phần]:[Đơn vị (Chén, thìa cà phê, ...)]],2,FALSE)</f>
        <v>Chén</v>
      </c>
    </row>
    <row r="34" spans="2:16" x14ac:dyDescent="0.3">
      <c r="M34" s="19" t="s">
        <v>3</v>
      </c>
      <c r="N34" s="16">
        <v>3</v>
      </c>
      <c r="O34" s="30" t="str">
        <f>VLOOKUP(M34,Table13[[#All],[Thành phần]:[Đơn vị (Chén, thìa cà phê, ...)]],2,FALSE)</f>
        <v>Quả</v>
      </c>
    </row>
    <row r="35" spans="2:16" ht="15" thickBot="1" x14ac:dyDescent="0.35">
      <c r="I35" s="2"/>
      <c r="M35" s="19" t="s">
        <v>8</v>
      </c>
      <c r="N35" s="33">
        <v>0.5</v>
      </c>
      <c r="O35" s="30" t="str">
        <f>VLOOKUP(M35,Table13[[#All],[Thành phần]:[Đơn vị (Chén, thìa cà phê, ...)]],2,FALSE)</f>
        <v>Chén</v>
      </c>
    </row>
    <row r="36" spans="2:16" x14ac:dyDescent="0.3">
      <c r="D36" s="3"/>
      <c r="I36" s="3"/>
    </row>
    <row r="37" spans="2:16" x14ac:dyDescent="0.3">
      <c r="I37" s="2"/>
      <c r="N37" s="2"/>
    </row>
    <row r="38" spans="2:16" ht="15" thickBot="1" x14ac:dyDescent="0.35">
      <c r="N38" s="2"/>
    </row>
    <row r="39" spans="2:16" x14ac:dyDescent="0.3">
      <c r="C39" s="37" t="s">
        <v>91</v>
      </c>
      <c r="D39" s="38" t="s">
        <v>92</v>
      </c>
      <c r="E39" s="39" t="s">
        <v>94</v>
      </c>
      <c r="F39" s="40" t="s">
        <v>93</v>
      </c>
      <c r="H39" s="37" t="s">
        <v>91</v>
      </c>
      <c r="I39" s="38" t="s">
        <v>92</v>
      </c>
      <c r="J39" s="39" t="s">
        <v>94</v>
      </c>
      <c r="K39" s="40" t="s">
        <v>93</v>
      </c>
      <c r="M39" s="37" t="s">
        <v>91</v>
      </c>
      <c r="N39" s="38" t="s">
        <v>92</v>
      </c>
      <c r="O39" s="39" t="s">
        <v>94</v>
      </c>
      <c r="P39" s="40" t="s">
        <v>93</v>
      </c>
    </row>
    <row r="40" spans="2:16" ht="15" thickBot="1" x14ac:dyDescent="0.35">
      <c r="B40" s="1" t="s">
        <v>73</v>
      </c>
      <c r="C40" s="61">
        <f>Dashboard!C8</f>
        <v>1</v>
      </c>
      <c r="D40" s="61">
        <f>Dashboard!F8</f>
        <v>1</v>
      </c>
      <c r="E40" s="61">
        <f>Dashboard!C18</f>
        <v>6</v>
      </c>
      <c r="F40" s="61">
        <f>Dashboard!F18</f>
        <v>6</v>
      </c>
      <c r="H40" s="61">
        <f>Dashboard!C9</f>
        <v>4</v>
      </c>
      <c r="I40" s="61">
        <f>Dashboard!F9</f>
        <v>4</v>
      </c>
      <c r="J40" s="61">
        <f>Dashboard!C19</f>
        <v>1</v>
      </c>
      <c r="K40" s="61">
        <f>Dashboard!F19</f>
        <v>1</v>
      </c>
      <c r="M40" s="61">
        <f>Dashboard!C10</f>
        <v>0</v>
      </c>
      <c r="N40" s="61">
        <f>Dashboard!F10</f>
        <v>0</v>
      </c>
      <c r="O40" s="61">
        <f>Dashboard!C20</f>
        <v>0</v>
      </c>
      <c r="P40" s="61">
        <f>Dashboard!F20</f>
        <v>0</v>
      </c>
    </row>
  </sheetData>
  <mergeCells count="6">
    <mergeCell ref="C3:E4"/>
    <mergeCell ref="H3:J4"/>
    <mergeCell ref="M3:O4"/>
    <mergeCell ref="C22:E23"/>
    <mergeCell ref="H22:J23"/>
    <mergeCell ref="M22:O23"/>
  </mergeCell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Unit!$B$6:$B$23</xm:f>
          </x14:formula1>
          <xm:sqref>C6:C14 H6:H15 M6:M13 C25:C33 H25:H33 M25:M35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C2:P74"/>
  <sheetViews>
    <sheetView tabSelected="1" topLeftCell="A23" zoomScale="85" zoomScaleNormal="85" workbookViewId="0">
      <selection activeCell="D29" sqref="D29"/>
    </sheetView>
  </sheetViews>
  <sheetFormatPr defaultRowHeight="14.4" x14ac:dyDescent="0.3"/>
  <cols>
    <col min="1" max="1" width="9.109375"/>
    <col min="3" max="3" width="22.44140625" customWidth="1"/>
    <col min="4" max="4" width="18.6640625" customWidth="1"/>
    <col min="5" max="6" width="20" customWidth="1"/>
    <col min="7" max="7" width="22.88671875" customWidth="1"/>
    <col min="8" max="8" width="22.33203125" customWidth="1"/>
    <col min="9" max="9" width="12.88671875" customWidth="1"/>
    <col min="10" max="10" width="24" customWidth="1"/>
    <col min="11" max="11" width="18.33203125" customWidth="1"/>
    <col min="12" max="12" width="18.44140625" customWidth="1"/>
    <col min="13" max="13" width="21.33203125" customWidth="1"/>
    <col min="14" max="14" width="12.88671875" customWidth="1"/>
    <col min="15" max="16" width="16.5546875" customWidth="1"/>
  </cols>
  <sheetData>
    <row r="2" spans="3:15" ht="15" thickBot="1" x14ac:dyDescent="0.35"/>
    <row r="3" spans="3:15" ht="30.75" customHeight="1" x14ac:dyDescent="0.3">
      <c r="C3" s="79" t="s">
        <v>85</v>
      </c>
      <c r="D3" s="80"/>
      <c r="E3" s="80"/>
      <c r="F3" s="80"/>
      <c r="G3" s="80"/>
      <c r="H3" s="81"/>
      <c r="J3" s="79" t="s">
        <v>105</v>
      </c>
      <c r="K3" s="80"/>
      <c r="L3" s="80"/>
      <c r="M3" s="80"/>
      <c r="N3" s="80"/>
      <c r="O3" s="81"/>
    </row>
    <row r="4" spans="3:15" ht="40.5" customHeight="1" x14ac:dyDescent="0.3">
      <c r="C4" s="51" t="s">
        <v>84</v>
      </c>
      <c r="D4" s="50" t="s">
        <v>99</v>
      </c>
      <c r="E4" s="50" t="s">
        <v>100</v>
      </c>
      <c r="F4" s="50" t="s">
        <v>101</v>
      </c>
      <c r="G4" s="50" t="s">
        <v>102</v>
      </c>
      <c r="H4" s="52" t="s">
        <v>71</v>
      </c>
      <c r="J4" s="60" t="s">
        <v>84</v>
      </c>
      <c r="K4" s="50" t="s">
        <v>99</v>
      </c>
      <c r="L4" s="50" t="s">
        <v>100</v>
      </c>
      <c r="M4" s="50" t="s">
        <v>101</v>
      </c>
      <c r="N4" s="50" t="s">
        <v>102</v>
      </c>
      <c r="O4" s="59" t="s">
        <v>71</v>
      </c>
    </row>
    <row r="5" spans="3:15" ht="16.5" customHeight="1" x14ac:dyDescent="0.3">
      <c r="C5" s="42" t="str">
        <f xml:space="preserve"> Unit!B6</f>
        <v>Trứng</v>
      </c>
      <c r="D5" s="36">
        <f>IFERROR(VLOOKUP(C5,Recipes!$C$6:$E$14,2,FALSE),0)*Dashboard!$C$5+IFERROR(VLOOKUP(C5,Recipes!$H$6:$J$15,2,FALSE),0)*Dashboard!$C$6+IFERROR(VLOOKUP(C5,Recipes!$M$6:$O$13,2,FALSE),0)*Dashboard!$C$7+IFERROR(VLOOKUP(C5,Recipes!$C$25:$G$33,2,FALSE),0)*Dashboard!$C$8+IFERROR(VLOOKUP(C5,Recipes!$H$25:$J$33,2,FALSE),0)*Dashboard!$C$9</f>
        <v>20</v>
      </c>
      <c r="E5" s="36">
        <f>IFERROR(VLOOKUP(C5,Recipes!$C$6:$E$14,2,FALSE),0)*Dashboard!$F$5+IFERROR(VLOOKUP(C5,Recipes!$H$6:$J$15,2,FALSE),0)*Dashboard!$F$6+IFERROR(VLOOKUP(C5,Recipes!$M$6:$O$13,2,FALSE),0)*Dashboard!$F$7+IFERROR(VLOOKUP(C5,Recipes!$C$25:$G$33,2,FALSE),0)*Dashboard!$F$8+IFERROR(VLOOKUP(C5,Recipes!$H$25:$J$33,2,FALSE),0)*Dashboard!$F$9</f>
        <v>15</v>
      </c>
      <c r="F5" s="36">
        <f>IFERROR(VLOOKUP(C5,Recipes!$C$6:$E$14,2,FALSE),0)*Dashboard!$C$15+IFERROR(VLOOKUP(C5,Recipes!$H$6:$J$15,2,FALSE),0)*Dashboard!$C$16+IFERROR(VLOOKUP(C5,Recipes!$M$6:$O$13,2,FALSE),0)*Dashboard!$C$17+IFERROR(VLOOKUP(C5,Recipes!$C$25:$G$33,2,FALSE),0)*Dashboard!$C$18+IFERROR(VLOOKUP(C5,Recipes!$H$25:$J$33,2,FALSE),0)*Dashboard!$C$19</f>
        <v>23</v>
      </c>
      <c r="G5" s="36">
        <f>IFERROR(VLOOKUP(C5,Recipes!$C$6:$E$14,2,FALSE),0)*Dashboard!$F$15+IFERROR(VLOOKUP(C5,Recipes!$H$6:$J$15,2,FALSE),0)*Dashboard!$F$16+IFERROR(VLOOKUP(C5,Recipes!$M$6:$O$13,2,FALSE),0)*Dashboard!$F$17+IFERROR(VLOOKUP(C5,Recipes!$C$25:$G$33,2,FALSE),0)*Dashboard!$F$18+IFERROR(VLOOKUP(C5,Recipes!$H$25:$J$33,2,FALSE),0)*Dashboard!$F$19</f>
        <v>16</v>
      </c>
      <c r="H5" s="43" t="s">
        <v>69</v>
      </c>
      <c r="J5" s="42" t="str">
        <f xml:space="preserve"> Unit!B6</f>
        <v>Trứng</v>
      </c>
      <c r="K5" s="36">
        <f>ROUNDUP($D5/MID(Unit!E6,1, FIND(" ", Unit!E6)),0)</f>
        <v>2</v>
      </c>
      <c r="L5" s="36">
        <f>ROUNDUP($E5/MID(Unit!E6,1, FIND(" ", Unit!E6)),0)</f>
        <v>2</v>
      </c>
      <c r="M5" s="36">
        <f>ROUNDUP($F5/MID(Unit!E6,1, FIND(" ", Unit!E6)),0)</f>
        <v>2</v>
      </c>
      <c r="N5" s="36">
        <f>ROUNDUP($G5/MID(Unit!E6,1, FIND(" ", Unit!E6)),0)</f>
        <v>2</v>
      </c>
      <c r="O5" s="43" t="s">
        <v>20</v>
      </c>
    </row>
    <row r="6" spans="3:15" x14ac:dyDescent="0.3">
      <c r="C6" s="42" t="str">
        <f xml:space="preserve"> Unit!B7</f>
        <v>Đường</v>
      </c>
      <c r="D6" s="36">
        <f>IFERROR(VLOOKUP(C6,Recipes!$C$6:$E$14,2,FALSE),0)*Dashboard!$C$5+IFERROR(VLOOKUP(C6,Recipes!$H$6:$J$15,2,FALSE),0)*Dashboard!$C$6+IFERROR(VLOOKUP(C6,Recipes!$M$6:$O$13,2,FALSE),0)*Dashboard!$C$7+IFERROR(VLOOKUP(C6,Recipes!$C$25:$G$33,2,FALSE),0)*Dashboard!$C$8+IFERROR(VLOOKUP(C6,Recipes!$H$25:$J$33,2,FALSE),0)*Dashboard!$C$9</f>
        <v>10.25</v>
      </c>
      <c r="E6" s="36">
        <f>IFERROR(VLOOKUP(C6,Recipes!$C$6:$E$14,2,FALSE),0)*Dashboard!$F$5+IFERROR(VLOOKUP(C6,Recipes!$H$6:$J$15,2,FALSE),0)*Dashboard!$F$6+IFERROR(VLOOKUP(C6,Recipes!$M$6:$O$13,2,FALSE),0)*Dashboard!$F$7+IFERROR(VLOOKUP(C6,Recipes!$C$25:$G$33,2,FALSE),0)*Dashboard!$F$8+IFERROR(VLOOKUP(C6,Recipes!$H$25:$J$33,2,FALSE),0)*Dashboard!$F$9</f>
        <v>6.75</v>
      </c>
      <c r="F6" s="36">
        <f>IFERROR(VLOOKUP(C6,Recipes!$C$6:$E$14,2,FALSE),0)*Dashboard!$C$15+IFERROR(VLOOKUP(C6,Recipes!$H$6:$J$15,2,FALSE),0)*Dashboard!$C$16+IFERROR(VLOOKUP(C6,Recipes!$M$6:$O$13,2,FALSE),0)*Dashboard!$C$17+IFERROR(VLOOKUP(C6,Recipes!$C$25:$G$33,2,FALSE),0)*Dashboard!$C$18+IFERROR(VLOOKUP(C6,Recipes!$H$25:$J$33,2,FALSE),0)*Dashboard!$C$19</f>
        <v>11</v>
      </c>
      <c r="G6" s="36">
        <f>IFERROR(VLOOKUP(C6,Recipes!$C$6:$E$14,2,FALSE),0)*Dashboard!$F$15+IFERROR(VLOOKUP(C6,Recipes!$H$6:$J$15,2,FALSE),0)*Dashboard!$F$16+IFERROR(VLOOKUP(C6,Recipes!$M$6:$O$13,2,FALSE),0)*Dashboard!$F$17+IFERROR(VLOOKUP(C6,Recipes!$C$25:$G$33,2,FALSE),0)*Dashboard!$F$18+IFERROR(VLOOKUP(C6,Recipes!$H$25:$J$33,2,FALSE),0)*Dashboard!$F$19</f>
        <v>6</v>
      </c>
      <c r="H6" s="43" t="s">
        <v>17</v>
      </c>
      <c r="J6" s="42" t="str">
        <f xml:space="preserve"> Unit!B7</f>
        <v>Đường</v>
      </c>
      <c r="K6" s="36">
        <f>ROUNDUP($D6/MID(Unit!E7,1, FIND(" ", Unit!E7)),0)</f>
        <v>2</v>
      </c>
      <c r="L6" s="36">
        <f>ROUNDUP($E6/MID(Unit!E7,1, FIND(" ", Unit!E7)),0)</f>
        <v>1</v>
      </c>
      <c r="M6" s="36">
        <f>ROUNDUP($F6/MID(Unit!E7,1, FIND(" ", Unit!E7)),0)</f>
        <v>2</v>
      </c>
      <c r="N6" s="36">
        <f>ROUNDUP($G6/MID(Unit!E7,1, FIND(" ", Unit!E7)),0)</f>
        <v>1</v>
      </c>
      <c r="O6" s="43" t="s">
        <v>24</v>
      </c>
    </row>
    <row r="7" spans="3:15" x14ac:dyDescent="0.3">
      <c r="C7" s="42" t="str">
        <f xml:space="preserve"> Unit!B8</f>
        <v>Bột mì</v>
      </c>
      <c r="D7" s="36">
        <f>IFERROR(VLOOKUP(C7,Recipes!$C$6:$E$14,2,FALSE),0)*Dashboard!$C$5+IFERROR(VLOOKUP(C7,Recipes!$H$6:$J$15,2,FALSE),0)*Dashboard!$C$6+IFERROR(VLOOKUP(C7,Recipes!$M$6:$O$13,2,FALSE),0)*Dashboard!$C$7+IFERROR(VLOOKUP(C7,Recipes!$C$25:$G$33,2,FALSE),0)*Dashboard!$C$8+IFERROR(VLOOKUP(C7,Recipes!$H$25:$J$33,2,FALSE),0)*Dashboard!$C$9</f>
        <v>33</v>
      </c>
      <c r="E7" s="36">
        <f>IFERROR(VLOOKUP(C7,Recipes!$C$6:$E$14,2,FALSE),0)*Dashboard!$F$5+IFERROR(VLOOKUP(C7,Recipes!$H$6:$J$15,2,FALSE),0)*Dashboard!$F$6+IFERROR(VLOOKUP(C7,Recipes!$M$6:$O$13,2,FALSE),0)*Dashboard!$F$7+IFERROR(VLOOKUP(C7,Recipes!$C$25:$G$33,2,FALSE),0)*Dashboard!$F$8+IFERROR(VLOOKUP(C7,Recipes!$H$25:$J$33,2,FALSE),0)*Dashboard!$F$9</f>
        <v>32.5</v>
      </c>
      <c r="F7" s="36">
        <f>IFERROR(VLOOKUP(C7,Recipes!$C$6:$E$14,2,FALSE),0)*Dashboard!$C$15+IFERROR(VLOOKUP(C7,Recipes!$H$6:$J$15,2,FALSE),0)*Dashboard!$C$16+IFERROR(VLOOKUP(C7,Recipes!$M$6:$O$13,2,FALSE),0)*Dashboard!$C$17+IFERROR(VLOOKUP(C7,Recipes!$C$25:$G$33,2,FALSE),0)*Dashboard!$C$18+IFERROR(VLOOKUP(C7,Recipes!$H$25:$J$33,2,FALSE),0)*Dashboard!$C$19</f>
        <v>41.25</v>
      </c>
      <c r="G7" s="36">
        <f>IFERROR(VLOOKUP(C7,Recipes!$C$6:$E$14,2,FALSE),0)*Dashboard!$F$15+IFERROR(VLOOKUP(C7,Recipes!$H$6:$J$15,2,FALSE),0)*Dashboard!$F$16+IFERROR(VLOOKUP(C7,Recipes!$M$6:$O$13,2,FALSE),0)*Dashboard!$F$17+IFERROR(VLOOKUP(C7,Recipes!$C$25:$G$33,2,FALSE),0)*Dashboard!$F$18+IFERROR(VLOOKUP(C7,Recipes!$H$25:$J$33,2,FALSE),0)*Dashboard!$F$19</f>
        <v>38.75</v>
      </c>
      <c r="H7" s="43" t="s">
        <v>17</v>
      </c>
      <c r="J7" s="42" t="str">
        <f xml:space="preserve"> Unit!B8</f>
        <v>Bột mì</v>
      </c>
      <c r="K7" s="36">
        <f>ROUNDUP($D7/MID(Unit!E8,1, FIND(" ", Unit!E8)),0)</f>
        <v>2</v>
      </c>
      <c r="L7" s="36">
        <f>ROUNDUP($E7/MID(Unit!E8,1, FIND(" ", Unit!E8)),0)</f>
        <v>2</v>
      </c>
      <c r="M7" s="36">
        <f>ROUNDUP($F7/MID(Unit!E8,1, FIND(" ", Unit!E8)),0)</f>
        <v>3</v>
      </c>
      <c r="N7" s="36">
        <f>ROUNDUP($G7/MID(Unit!E8,1, FIND(" ", Unit!E8)),0)</f>
        <v>3</v>
      </c>
      <c r="O7" s="43" t="s">
        <v>32</v>
      </c>
    </row>
    <row r="8" spans="3:15" x14ac:dyDescent="0.3">
      <c r="C8" s="42" t="str">
        <f xml:space="preserve"> Unit!B9</f>
        <v>Baking soda</v>
      </c>
      <c r="D8" s="36">
        <f>IFERROR(VLOOKUP(C8,Recipes!$C$6:$E$14,2,FALSE),0)*Dashboard!$C$5+IFERROR(VLOOKUP(C8,Recipes!$H$6:$J$15,2,FALSE),0)*Dashboard!$C$6+IFERROR(VLOOKUP(C8,Recipes!$M$6:$O$13,2,FALSE),0)*Dashboard!$C$7+IFERROR(VLOOKUP(C8,Recipes!$C$25:$G$33,2,FALSE),0)*Dashboard!$C$8+IFERROR(VLOOKUP(C8,Recipes!$H$25:$J$33,2,FALSE),0)*Dashboard!$C$9</f>
        <v>9</v>
      </c>
      <c r="E8" s="36">
        <f>IFERROR(VLOOKUP(C8,Recipes!$C$6:$E$14,2,FALSE),0)*Dashboard!$F$5+IFERROR(VLOOKUP(C8,Recipes!$H$6:$J$15,2,FALSE),0)*Dashboard!$F$6+IFERROR(VLOOKUP(C8,Recipes!$M$6:$O$13,2,FALSE),0)*Dashboard!$F$7+IFERROR(VLOOKUP(C8,Recipes!$C$25:$G$33,2,FALSE),0)*Dashboard!$F$8+IFERROR(VLOOKUP(C8,Recipes!$H$25:$J$33,2,FALSE),0)*Dashboard!$F$9</f>
        <v>4</v>
      </c>
      <c r="F8" s="36">
        <f>IFERROR(VLOOKUP(C8,Recipes!$C$6:$E$14,2,FALSE),0)*Dashboard!$C$15+IFERROR(VLOOKUP(C8,Recipes!$H$6:$J$15,2,FALSE),0)*Dashboard!$C$16+IFERROR(VLOOKUP(C8,Recipes!$M$6:$O$13,2,FALSE),0)*Dashboard!$C$17+IFERROR(VLOOKUP(C8,Recipes!$C$25:$G$33,2,FALSE),0)*Dashboard!$C$18+IFERROR(VLOOKUP(C8,Recipes!$H$25:$J$33,2,FALSE),0)*Dashboard!$C$19</f>
        <v>10</v>
      </c>
      <c r="G8" s="36">
        <f>IFERROR(VLOOKUP(C8,Recipes!$C$6:$E$14,2,FALSE),0)*Dashboard!$F$15+IFERROR(VLOOKUP(C8,Recipes!$H$6:$J$15,2,FALSE),0)*Dashboard!$F$16+IFERROR(VLOOKUP(C8,Recipes!$M$6:$O$13,2,FALSE),0)*Dashboard!$F$17+IFERROR(VLOOKUP(C8,Recipes!$C$25:$G$33,2,FALSE),0)*Dashboard!$F$18+IFERROR(VLOOKUP(C8,Recipes!$H$25:$J$33,2,FALSE),0)*Dashboard!$F$19</f>
        <v>4</v>
      </c>
      <c r="H8" s="43" t="s">
        <v>18</v>
      </c>
      <c r="J8" s="42" t="str">
        <f xml:space="preserve"> Unit!B9</f>
        <v>Baking soda</v>
      </c>
      <c r="K8" s="36">
        <f>ROUNDUP($D8/MID(Unit!E9,1, FIND(" ", Unit!E9)),0)</f>
        <v>1</v>
      </c>
      <c r="L8" s="36">
        <f>ROUNDUP($E8/MID(Unit!E9,1, FIND(" ", Unit!E9)),0)</f>
        <v>1</v>
      </c>
      <c r="M8" s="36">
        <f>ROUNDUP($F8/MID(Unit!E9,1, FIND(" ", Unit!E9)),0)</f>
        <v>1</v>
      </c>
      <c r="N8" s="36">
        <f>ROUNDUP($G8/MID(Unit!E9,1, FIND(" ", Unit!E9)),0)</f>
        <v>1</v>
      </c>
      <c r="O8" s="43" t="s">
        <v>33</v>
      </c>
    </row>
    <row r="9" spans="3:15" x14ac:dyDescent="0.3">
      <c r="C9" s="42" t="str">
        <f xml:space="preserve"> Unit!B10</f>
        <v>Bột nở</v>
      </c>
      <c r="D9" s="36">
        <f>IFERROR(VLOOKUP(C9,Recipes!$C$6:$E$14,2,FALSE),0)*Dashboard!$C$5+IFERROR(VLOOKUP(C9,Recipes!$H$6:$J$15,2,FALSE),0)*Dashboard!$C$6+IFERROR(VLOOKUP(C9,Recipes!$M$6:$O$13,2,FALSE),0)*Dashboard!$C$7+IFERROR(VLOOKUP(C9,Recipes!$C$25:$G$33,2,FALSE),0)*Dashboard!$C$8+IFERROR(VLOOKUP(C9,Recipes!$H$25:$J$33,2,FALSE),0)*Dashboard!$C$9</f>
        <v>2</v>
      </c>
      <c r="E9" s="36">
        <f>IFERROR(VLOOKUP(C9,Recipes!$C$6:$E$14,2,FALSE),0)*Dashboard!$F$5+IFERROR(VLOOKUP(C9,Recipes!$H$6:$J$15,2,FALSE),0)*Dashboard!$F$6+IFERROR(VLOOKUP(C9,Recipes!$M$6:$O$13,2,FALSE),0)*Dashboard!$F$7+IFERROR(VLOOKUP(C9,Recipes!$C$25:$G$33,2,FALSE),0)*Dashboard!$F$8+IFERROR(VLOOKUP(C9,Recipes!$H$25:$J$33,2,FALSE),0)*Dashboard!$F$9</f>
        <v>4</v>
      </c>
      <c r="F9" s="36">
        <f>IFERROR(VLOOKUP(C9,Recipes!$C$6:$E$14,2,FALSE),0)*Dashboard!$C$15+IFERROR(VLOOKUP(C9,Recipes!$H$6:$J$15,2,FALSE),0)*Dashboard!$C$16+IFERROR(VLOOKUP(C9,Recipes!$M$6:$O$13,2,FALSE),0)*Dashboard!$C$17+IFERROR(VLOOKUP(C9,Recipes!$C$25:$G$33,2,FALSE),0)*Dashboard!$C$18+IFERROR(VLOOKUP(C9,Recipes!$H$25:$J$33,2,FALSE),0)*Dashboard!$C$19</f>
        <v>1</v>
      </c>
      <c r="G9" s="36">
        <f>IFERROR(VLOOKUP(C9,Recipes!$C$6:$E$14,2,FALSE),0)*Dashboard!$F$15+IFERROR(VLOOKUP(C9,Recipes!$H$6:$J$15,2,FALSE),0)*Dashboard!$F$16+IFERROR(VLOOKUP(C9,Recipes!$M$6:$O$13,2,FALSE),0)*Dashboard!$F$17+IFERROR(VLOOKUP(C9,Recipes!$C$25:$G$33,2,FALSE),0)*Dashboard!$F$18+IFERROR(VLOOKUP(C9,Recipes!$H$25:$J$33,2,FALSE),0)*Dashboard!$F$19</f>
        <v>2</v>
      </c>
      <c r="H9" s="43" t="s">
        <v>19</v>
      </c>
      <c r="J9" s="42" t="str">
        <f xml:space="preserve"> Unit!B10</f>
        <v>Bột nở</v>
      </c>
      <c r="K9" s="36">
        <f>ROUNDUP($D9/MID(Unit!E10,1, FIND(" ", Unit!E10)),0)</f>
        <v>1</v>
      </c>
      <c r="L9" s="36">
        <f>ROUNDUP($E9/MID(Unit!E10,1, FIND(" ", Unit!E10)),0)</f>
        <v>1</v>
      </c>
      <c r="M9" s="36">
        <f>ROUNDUP($F9/MID(Unit!E10,1, FIND(" ", Unit!E10)),0)</f>
        <v>1</v>
      </c>
      <c r="N9" s="36">
        <f>ROUNDUP($G9/MID(Unit!E10,1, FIND(" ", Unit!E10)),0)</f>
        <v>1</v>
      </c>
      <c r="O9" s="43" t="s">
        <v>34</v>
      </c>
    </row>
    <row r="10" spans="3:15" x14ac:dyDescent="0.3">
      <c r="C10" s="42" t="str">
        <f xml:space="preserve"> Unit!B11</f>
        <v>Chocolate chips</v>
      </c>
      <c r="D10" s="36">
        <f>IFERROR(VLOOKUP(C10,Recipes!$C$6:$E$14,2,FALSE),0)*Dashboard!$C$5+IFERROR(VLOOKUP(C10,Recipes!$H$6:$J$15,2,FALSE),0)*Dashboard!$C$6+IFERROR(VLOOKUP(C10,Recipes!$M$6:$O$13,2,FALSE),0)*Dashboard!$C$7+IFERROR(VLOOKUP(C10,Recipes!$C$25:$G$33,2,FALSE),0)*Dashboard!$C$8+IFERROR(VLOOKUP(C10,Recipes!$H$25:$J$33,2,FALSE),0)*Dashboard!$C$9</f>
        <v>52</v>
      </c>
      <c r="E10" s="36">
        <f>IFERROR(VLOOKUP(C10,Recipes!$C$6:$E$14,2,FALSE),0)*Dashboard!$F$5+IFERROR(VLOOKUP(C10,Recipes!$H$6:$J$15,2,FALSE),0)*Dashboard!$F$6+IFERROR(VLOOKUP(C10,Recipes!$M$6:$O$13,2,FALSE),0)*Dashboard!$F$7+IFERROR(VLOOKUP(C10,Recipes!$C$25:$G$33,2,FALSE),0)*Dashboard!$F$8+IFERROR(VLOOKUP(C10,Recipes!$H$25:$J$33,2,FALSE),0)*Dashboard!$F$9</f>
        <v>28</v>
      </c>
      <c r="F10" s="36">
        <f>IFERROR(VLOOKUP(C10,Recipes!$C$6:$E$14,2,FALSE),0)*Dashboard!$C$15+IFERROR(VLOOKUP(C10,Recipes!$H$6:$J$15,2,FALSE),0)*Dashboard!$C$16+IFERROR(VLOOKUP(C10,Recipes!$M$6:$O$13,2,FALSE),0)*Dashboard!$C$17+IFERROR(VLOOKUP(C10,Recipes!$C$25:$G$33,2,FALSE),0)*Dashboard!$C$18+IFERROR(VLOOKUP(C10,Recipes!$H$25:$J$33,2,FALSE),0)*Dashboard!$C$19</f>
        <v>84</v>
      </c>
      <c r="G10" s="36">
        <f>IFERROR(VLOOKUP(C10,Recipes!$C$6:$E$14,2,FALSE),0)*Dashboard!$F$15+IFERROR(VLOOKUP(C10,Recipes!$H$6:$J$15,2,FALSE),0)*Dashboard!$F$16+IFERROR(VLOOKUP(C10,Recipes!$M$6:$O$13,2,FALSE),0)*Dashboard!$F$17+IFERROR(VLOOKUP(C10,Recipes!$C$25:$G$33,2,FALSE),0)*Dashboard!$F$18+IFERROR(VLOOKUP(C10,Recipes!$H$25:$J$33,2,FALSE),0)*Dashboard!$F$19</f>
        <v>60</v>
      </c>
      <c r="H10" s="43" t="s">
        <v>35</v>
      </c>
      <c r="J10" s="42" t="str">
        <f xml:space="preserve"> Unit!B11</f>
        <v>Chocolate chips</v>
      </c>
      <c r="K10" s="36">
        <f>ROUNDUP($D10/MID(Unit!E11,1, FIND(" ", Unit!E11)),0)</f>
        <v>5</v>
      </c>
      <c r="L10" s="36">
        <f>ROUNDUP($E10/MID(Unit!E11,1, FIND(" ", Unit!E11)),0)</f>
        <v>3</v>
      </c>
      <c r="M10" s="36">
        <f>ROUNDUP($F10/MID(Unit!E11,1, FIND(" ", Unit!E11)),0)</f>
        <v>7</v>
      </c>
      <c r="N10" s="36">
        <f>ROUNDUP($G10/MID(Unit!E11,1, FIND(" ", Unit!E11)),0)</f>
        <v>5</v>
      </c>
      <c r="O10" s="43" t="s">
        <v>55</v>
      </c>
    </row>
    <row r="11" spans="3:15" x14ac:dyDescent="0.3">
      <c r="C11" s="42" t="str">
        <f xml:space="preserve"> Unit!B12</f>
        <v>Muối</v>
      </c>
      <c r="D11" s="36">
        <f>IFERROR(VLOOKUP(C11,Recipes!$C$6:$E$14,2,FALSE),0)*Dashboard!$C$5+IFERROR(VLOOKUP(C11,Recipes!$H$6:$J$15,2,FALSE),0)*Dashboard!$C$6+IFERROR(VLOOKUP(C11,Recipes!$M$6:$O$13,2,FALSE),0)*Dashboard!$C$7+IFERROR(VLOOKUP(C11,Recipes!$C$25:$G$33,2,FALSE),0)*Dashboard!$C$8+IFERROR(VLOOKUP(C11,Recipes!$H$25:$J$33,2,FALSE),0)*Dashboard!$C$9</f>
        <v>12.25</v>
      </c>
      <c r="E11" s="36">
        <f>IFERROR(VLOOKUP(C11,Recipes!$C$6:$E$14,2,FALSE),0)*Dashboard!$F$5+IFERROR(VLOOKUP(C11,Recipes!$H$6:$J$15,2,FALSE),0)*Dashboard!$F$6+IFERROR(VLOOKUP(C11,Recipes!$M$6:$O$13,2,FALSE),0)*Dashboard!$F$7+IFERROR(VLOOKUP(C11,Recipes!$C$25:$G$33,2,FALSE),0)*Dashboard!$F$8+IFERROR(VLOOKUP(C11,Recipes!$H$25:$J$33,2,FALSE),0)*Dashboard!$F$9</f>
        <v>11.5</v>
      </c>
      <c r="F11" s="36">
        <f>IFERROR(VLOOKUP(C11,Recipes!$C$6:$E$14,2,FALSE),0)*Dashboard!$C$15+IFERROR(VLOOKUP(C11,Recipes!$H$6:$J$15,2,FALSE),0)*Dashboard!$C$16+IFERROR(VLOOKUP(C11,Recipes!$M$6:$O$13,2,FALSE),0)*Dashboard!$C$17+IFERROR(VLOOKUP(C11,Recipes!$C$25:$G$33,2,FALSE),0)*Dashboard!$C$18+IFERROR(VLOOKUP(C11,Recipes!$H$25:$J$33,2,FALSE),0)*Dashboard!$C$19</f>
        <v>17.75</v>
      </c>
      <c r="G11" s="36">
        <f>IFERROR(VLOOKUP(C11,Recipes!$C$6:$E$14,2,FALSE),0)*Dashboard!$F$15+IFERROR(VLOOKUP(C11,Recipes!$H$6:$J$15,2,FALSE),0)*Dashboard!$F$16+IFERROR(VLOOKUP(C11,Recipes!$M$6:$O$13,2,FALSE),0)*Dashboard!$F$17+IFERROR(VLOOKUP(C11,Recipes!$C$25:$G$33,2,FALSE),0)*Dashboard!$F$18+IFERROR(VLOOKUP(C11,Recipes!$H$25:$J$33,2,FALSE),0)*Dashboard!$F$19</f>
        <v>16.25</v>
      </c>
      <c r="H11" s="43" t="s">
        <v>18</v>
      </c>
      <c r="J11" s="42" t="str">
        <f xml:space="preserve"> Unit!B12</f>
        <v>Muối</v>
      </c>
      <c r="K11" s="36">
        <f>ROUNDUP($D11/MID(Unit!E12,1, FIND(" ", Unit!E12)),0)</f>
        <v>1</v>
      </c>
      <c r="L11" s="36">
        <f>ROUNDUP($E11/MID(Unit!E12,1, FIND(" ", Unit!E12)),0)</f>
        <v>1</v>
      </c>
      <c r="M11" s="36">
        <f>ROUNDUP($F11/MID(Unit!E12,1, FIND(" ", Unit!E12)),0)</f>
        <v>1</v>
      </c>
      <c r="N11" s="36">
        <f>ROUNDUP($G11/MID(Unit!E12,1, FIND(" ", Unit!E12)),0)</f>
        <v>1</v>
      </c>
      <c r="O11" s="43" t="s">
        <v>24</v>
      </c>
    </row>
    <row r="12" spans="3:15" x14ac:dyDescent="0.3">
      <c r="C12" s="42" t="str">
        <f xml:space="preserve"> Unit!B13</f>
        <v>Đường nâu</v>
      </c>
      <c r="D12" s="36">
        <f>IFERROR(VLOOKUP(C12,Recipes!$C$6:$E$14,2,FALSE),0)*Dashboard!$C$5+IFERROR(VLOOKUP(C12,Recipes!$H$6:$J$15,2,FALSE),0)*Dashboard!$C$6+IFERROR(VLOOKUP(C12,Recipes!$M$6:$O$13,2,FALSE),0)*Dashboard!$C$7+IFERROR(VLOOKUP(C12,Recipes!$C$25:$G$33,2,FALSE),0)*Dashboard!$C$8+IFERROR(VLOOKUP(C12,Recipes!$H$25:$J$33,2,FALSE),0)*Dashboard!$C$9</f>
        <v>5</v>
      </c>
      <c r="E12" s="36">
        <f>IFERROR(VLOOKUP(C12,Recipes!$C$6:$E$14,2,FALSE),0)*Dashboard!$F$5+IFERROR(VLOOKUP(C12,Recipes!$H$6:$J$15,2,FALSE),0)*Dashboard!$F$6+IFERROR(VLOOKUP(C12,Recipes!$M$6:$O$13,2,FALSE),0)*Dashboard!$F$7+IFERROR(VLOOKUP(C12,Recipes!$C$25:$G$33,2,FALSE),0)*Dashboard!$F$8+IFERROR(VLOOKUP(C12,Recipes!$H$25:$J$33,2,FALSE),0)*Dashboard!$F$9</f>
        <v>3.5</v>
      </c>
      <c r="F12" s="36">
        <f>IFERROR(VLOOKUP(C12,Recipes!$C$6:$E$14,2,FALSE),0)*Dashboard!$C$15+IFERROR(VLOOKUP(C12,Recipes!$H$6:$J$15,2,FALSE),0)*Dashboard!$C$16+IFERROR(VLOOKUP(C12,Recipes!$M$6:$O$13,2,FALSE),0)*Dashboard!$C$17+IFERROR(VLOOKUP(C12,Recipes!$C$25:$G$33,2,FALSE),0)*Dashboard!$C$18+IFERROR(VLOOKUP(C12,Recipes!$H$25:$J$33,2,FALSE),0)*Dashboard!$C$19</f>
        <v>4.25</v>
      </c>
      <c r="G12" s="36">
        <f>IFERROR(VLOOKUP(C12,Recipes!$C$6:$E$14,2,FALSE),0)*Dashboard!$F$15+IFERROR(VLOOKUP(C12,Recipes!$H$6:$J$15,2,FALSE),0)*Dashboard!$F$16+IFERROR(VLOOKUP(C12,Recipes!$M$6:$O$13,2,FALSE),0)*Dashboard!$F$17+IFERROR(VLOOKUP(C12,Recipes!$C$25:$G$33,2,FALSE),0)*Dashboard!$F$18+IFERROR(VLOOKUP(C12,Recipes!$H$25:$J$33,2,FALSE),0)*Dashboard!$F$19</f>
        <v>2.75</v>
      </c>
      <c r="H12" s="43" t="s">
        <v>17</v>
      </c>
      <c r="J12" s="42" t="str">
        <f xml:space="preserve"> Unit!B13</f>
        <v>Đường nâu</v>
      </c>
      <c r="K12" s="36">
        <f>ROUNDUP($D12/MID(Unit!E13,1, FIND(" ", Unit!E13)),0)</f>
        <v>2</v>
      </c>
      <c r="L12" s="36">
        <f>ROUNDUP($E12/MID(Unit!E13,1, FIND(" ", Unit!E13)),0)</f>
        <v>1</v>
      </c>
      <c r="M12" s="36">
        <f>ROUNDUP($F12/MID(Unit!E13,1, FIND(" ", Unit!E13)),0)</f>
        <v>1</v>
      </c>
      <c r="N12" s="36">
        <f>ROUNDUP($G12/MID(Unit!E13,1, FIND(" ", Unit!E13)),0)</f>
        <v>1</v>
      </c>
      <c r="O12" s="43" t="s">
        <v>24</v>
      </c>
    </row>
    <row r="13" spans="3:15" x14ac:dyDescent="0.3">
      <c r="C13" s="42" t="str">
        <f xml:space="preserve"> Unit!B14</f>
        <v>Đường mật</v>
      </c>
      <c r="D13" s="36">
        <f>IFERROR(VLOOKUP(C13,Recipes!$C$6:$E$14,2,FALSE),0)*Dashboard!$C$5+IFERROR(VLOOKUP(C13,Recipes!$H$6:$J$15,2,FALSE),0)*Dashboard!$C$6+IFERROR(VLOOKUP(C13,Recipes!$M$6:$O$13,2,FALSE),0)*Dashboard!$C$7+IFERROR(VLOOKUP(C13,Recipes!$C$25:$G$33,2,FALSE),0)*Dashboard!$C$8+IFERROR(VLOOKUP(C13,Recipes!$H$25:$J$33,2,FALSE),0)*Dashboard!$C$9</f>
        <v>1.25</v>
      </c>
      <c r="E13" s="36">
        <f>IFERROR(VLOOKUP(C13,Recipes!$C$6:$E$14,2,FALSE),0)*Dashboard!$F$5+IFERROR(VLOOKUP(C13,Recipes!$H$6:$J$15,2,FALSE),0)*Dashboard!$F$6+IFERROR(VLOOKUP(C13,Recipes!$M$6:$O$13,2,FALSE),0)*Dashboard!$F$7+IFERROR(VLOOKUP(C13,Recipes!$C$25:$G$33,2,FALSE),0)*Dashboard!$F$8+IFERROR(VLOOKUP(C13,Recipes!$H$25:$J$33,2,FALSE),0)*Dashboard!$F$9</f>
        <v>0.5</v>
      </c>
      <c r="F13" s="36">
        <f>IFERROR(VLOOKUP(C13,Recipes!$C$6:$E$14,2,FALSE),0)*Dashboard!$C$15+IFERROR(VLOOKUP(C13,Recipes!$H$6:$J$15,2,FALSE),0)*Dashboard!$C$16+IFERROR(VLOOKUP(C13,Recipes!$M$6:$O$13,2,FALSE),0)*Dashboard!$C$17+IFERROR(VLOOKUP(C13,Recipes!$C$25:$G$33,2,FALSE),0)*Dashboard!$C$18+IFERROR(VLOOKUP(C13,Recipes!$H$25:$J$33,2,FALSE),0)*Dashboard!$C$19</f>
        <v>1.25</v>
      </c>
      <c r="G13" s="36">
        <f>IFERROR(VLOOKUP(C13,Recipes!$C$6:$E$14,2,FALSE),0)*Dashboard!$F$15+IFERROR(VLOOKUP(C13,Recipes!$H$6:$J$15,2,FALSE),0)*Dashboard!$F$16+IFERROR(VLOOKUP(C13,Recipes!$M$6:$O$13,2,FALSE),0)*Dashboard!$F$17+IFERROR(VLOOKUP(C13,Recipes!$C$25:$G$33,2,FALSE),0)*Dashboard!$F$18+IFERROR(VLOOKUP(C13,Recipes!$H$25:$J$33,2,FALSE),0)*Dashboard!$F$19</f>
        <v>0.25</v>
      </c>
      <c r="H13" s="43" t="s">
        <v>17</v>
      </c>
      <c r="J13" s="42" t="str">
        <f xml:space="preserve"> Unit!B14</f>
        <v>Đường mật</v>
      </c>
      <c r="K13" s="36">
        <f>ROUNDUP($D13/MID(Unit!E14,1, FIND(" ", Unit!E14)),0)</f>
        <v>1</v>
      </c>
      <c r="L13" s="36">
        <f>ROUNDUP($E13/MID(Unit!E14,1, FIND(" ", Unit!E14)),0)</f>
        <v>1</v>
      </c>
      <c r="M13" s="36">
        <f>ROUNDUP($F13/MID(Unit!E14,1, FIND(" ", Unit!E14)),0)</f>
        <v>1</v>
      </c>
      <c r="N13" s="36">
        <f>ROUNDUP($G13/MID(Unit!E14,1, FIND(" ", Unit!E14)),0)</f>
        <v>1</v>
      </c>
      <c r="O13" s="43" t="s">
        <v>34</v>
      </c>
    </row>
    <row r="14" spans="3:15" x14ac:dyDescent="0.3">
      <c r="C14" s="42" t="str">
        <f xml:space="preserve"> Unit!B15</f>
        <v>Bơ</v>
      </c>
      <c r="D14" s="36">
        <f>IFERROR(VLOOKUP(C14,Recipes!$C$6:$E$14,2,FALSE),0)*Dashboard!$C$5+IFERROR(VLOOKUP(C14,Recipes!$H$6:$J$15,2,FALSE),0)*Dashboard!$C$6+IFERROR(VLOOKUP(C14,Recipes!$M$6:$O$13,2,FALSE),0)*Dashboard!$C$7+IFERROR(VLOOKUP(C14,Recipes!$C$25:$G$33,2,FALSE),0)*Dashboard!$C$8+IFERROR(VLOOKUP(C14,Recipes!$H$25:$J$33,2,FALSE),0)*Dashboard!$C$9</f>
        <v>6</v>
      </c>
      <c r="E14" s="36">
        <f>IFERROR(VLOOKUP(C14,Recipes!$C$6:$E$14,2,FALSE),0)*Dashboard!$F$5+IFERROR(VLOOKUP(C14,Recipes!$H$6:$J$15,2,FALSE),0)*Dashboard!$F$6+IFERROR(VLOOKUP(C14,Recipes!$M$6:$O$13,2,FALSE),0)*Dashboard!$F$7+IFERROR(VLOOKUP(C14,Recipes!$C$25:$G$33,2,FALSE),0)*Dashboard!$F$8+IFERROR(VLOOKUP(C14,Recipes!$H$25:$J$33,2,FALSE),0)*Dashboard!$F$9</f>
        <v>4.75</v>
      </c>
      <c r="F14" s="36">
        <f>IFERROR(VLOOKUP(C14,Recipes!$C$6:$E$14,2,FALSE),0)*Dashboard!$C$15+IFERROR(VLOOKUP(C14,Recipes!$H$6:$J$15,2,FALSE),0)*Dashboard!$C$16+IFERROR(VLOOKUP(C14,Recipes!$M$6:$O$13,2,FALSE),0)*Dashboard!$C$17+IFERROR(VLOOKUP(C14,Recipes!$C$25:$G$33,2,FALSE),0)*Dashboard!$C$18+IFERROR(VLOOKUP(C14,Recipes!$H$25:$J$33,2,FALSE),0)*Dashboard!$C$19</f>
        <v>6</v>
      </c>
      <c r="G14" s="36">
        <f>IFERROR(VLOOKUP(C14,Recipes!$C$6:$E$14,2,FALSE),0)*Dashboard!$F$15+IFERROR(VLOOKUP(C14,Recipes!$H$6:$J$15,2,FALSE),0)*Dashboard!$F$16+IFERROR(VLOOKUP(C14,Recipes!$M$6:$O$13,2,FALSE),0)*Dashboard!$F$17+IFERROR(VLOOKUP(C14,Recipes!$C$25:$G$33,2,FALSE),0)*Dashboard!$F$18+IFERROR(VLOOKUP(C14,Recipes!$H$25:$J$33,2,FALSE),0)*Dashboard!$F$19</f>
        <v>3.5</v>
      </c>
      <c r="H14" s="43" t="s">
        <v>17</v>
      </c>
      <c r="J14" s="42" t="str">
        <f xml:space="preserve"> Unit!B15</f>
        <v>Bơ</v>
      </c>
      <c r="K14" s="36">
        <f>ROUNDUP($D14/MID(Unit!E15,1, FIND(" ", Unit!E15)),0)</f>
        <v>3</v>
      </c>
      <c r="L14" s="36">
        <f>ROUNDUP($E14/MID(Unit!E15,1, FIND(" ", Unit!E15)),0)</f>
        <v>3</v>
      </c>
      <c r="M14" s="36">
        <f>ROUNDUP($F14/MID(Unit!E15,1, FIND(" ", Unit!E15)),0)</f>
        <v>3</v>
      </c>
      <c r="N14" s="36">
        <f>ROUNDUP($G14/MID(Unit!E15,1, FIND(" ", Unit!E15)),0)</f>
        <v>2</v>
      </c>
      <c r="O14" s="43" t="s">
        <v>37</v>
      </c>
    </row>
    <row r="15" spans="3:15" x14ac:dyDescent="0.3">
      <c r="C15" s="42" t="str">
        <f xml:space="preserve"> Unit!B16</f>
        <v>Vani</v>
      </c>
      <c r="D15" s="36">
        <f>IFERROR(VLOOKUP(C15,Recipes!$C$6:$E$14,2,FALSE),0)*Dashboard!$C$5+IFERROR(VLOOKUP(C15,Recipes!$H$6:$J$15,2,FALSE),0)*Dashboard!$C$6+IFERROR(VLOOKUP(C15,Recipes!$M$6:$O$13,2,FALSE),0)*Dashboard!$C$7+IFERROR(VLOOKUP(C15,Recipes!$C$25:$G$33,2,FALSE),0)*Dashboard!$C$8+IFERROR(VLOOKUP(C15,Recipes!$H$25:$J$33,2,FALSE),0)*Dashboard!$C$9</f>
        <v>4</v>
      </c>
      <c r="E15" s="36">
        <f>IFERROR(VLOOKUP(C15,Recipes!$C$6:$E$14,2,FALSE),0)*Dashboard!$F$5+IFERROR(VLOOKUP(C15,Recipes!$H$6:$J$15,2,FALSE),0)*Dashboard!$F$6+IFERROR(VLOOKUP(C15,Recipes!$M$6:$O$13,2,FALSE),0)*Dashboard!$F$7+IFERROR(VLOOKUP(C15,Recipes!$C$25:$G$33,2,FALSE),0)*Dashboard!$F$8+IFERROR(VLOOKUP(C15,Recipes!$H$25:$J$33,2,FALSE),0)*Dashboard!$F$9</f>
        <v>2</v>
      </c>
      <c r="F15" s="36">
        <f>IFERROR(VLOOKUP(C15,Recipes!$C$6:$E$14,2,FALSE),0)*Dashboard!$C$15+IFERROR(VLOOKUP(C15,Recipes!$H$6:$J$15,2,FALSE),0)*Dashboard!$C$16+IFERROR(VLOOKUP(C15,Recipes!$M$6:$O$13,2,FALSE),0)*Dashboard!$C$17+IFERROR(VLOOKUP(C15,Recipes!$C$25:$G$33,2,FALSE),0)*Dashboard!$C$18+IFERROR(VLOOKUP(C15,Recipes!$H$25:$J$33,2,FALSE),0)*Dashboard!$C$19</f>
        <v>5</v>
      </c>
      <c r="G15" s="36">
        <f>IFERROR(VLOOKUP(C15,Recipes!$C$6:$E$14,2,FALSE),0)*Dashboard!$F$15+IFERROR(VLOOKUP(C15,Recipes!$H$6:$J$15,2,FALSE),0)*Dashboard!$F$16+IFERROR(VLOOKUP(C15,Recipes!$M$6:$O$13,2,FALSE),0)*Dashboard!$F$17+IFERROR(VLOOKUP(C15,Recipes!$C$25:$G$33,2,FALSE),0)*Dashboard!$F$18+IFERROR(VLOOKUP(C15,Recipes!$H$25:$J$33,2,FALSE),0)*Dashboard!$F$19</f>
        <v>3</v>
      </c>
      <c r="H15" s="43" t="s">
        <v>18</v>
      </c>
      <c r="J15" s="42" t="str">
        <f xml:space="preserve"> Unit!B16</f>
        <v>Vani</v>
      </c>
      <c r="K15" s="36">
        <f>ROUNDUP($D15/MID(Unit!E16,1, FIND(" ", Unit!E16)),0)</f>
        <v>1</v>
      </c>
      <c r="L15" s="36">
        <f>ROUNDUP($E15/MID(Unit!E16,1, FIND(" ", Unit!E16)),0)</f>
        <v>1</v>
      </c>
      <c r="M15" s="36">
        <f>ROUNDUP($F15/MID(Unit!E16,1, FIND(" ", Unit!E16)),0)</f>
        <v>1</v>
      </c>
      <c r="N15" s="36">
        <f>ROUNDUP($G15/MID(Unit!E16,1, FIND(" ", Unit!E16)),0)</f>
        <v>1</v>
      </c>
      <c r="O15" s="43" t="s">
        <v>26</v>
      </c>
    </row>
    <row r="16" spans="3:15" x14ac:dyDescent="0.3">
      <c r="C16" s="42" t="str">
        <f xml:space="preserve"> Unit!B17</f>
        <v>Quế</v>
      </c>
      <c r="D16" s="36">
        <f>IFERROR(VLOOKUP(C16,Recipes!$C$6:$E$14,2,FALSE),0)*Dashboard!$C$5+IFERROR(VLOOKUP(C16,Recipes!$H$6:$J$15,2,FALSE),0)*Dashboard!$C$6+IFERROR(VLOOKUP(C16,Recipes!$M$6:$O$13,2,FALSE),0)*Dashboard!$C$7+IFERROR(VLOOKUP(C16,Recipes!$C$25:$G$33,2,FALSE),0)*Dashboard!$C$8+IFERROR(VLOOKUP(C16,Recipes!$H$25:$J$33,2,FALSE),0)*Dashboard!$C$9</f>
        <v>19.75</v>
      </c>
      <c r="E16" s="36">
        <f>IFERROR(VLOOKUP(C16,Recipes!$C$6:$E$14,2,FALSE),0)*Dashboard!$F$5+IFERROR(VLOOKUP(C16,Recipes!$H$6:$J$15,2,FALSE),0)*Dashboard!$F$6+IFERROR(VLOOKUP(C16,Recipes!$M$6:$O$13,2,FALSE),0)*Dashboard!$F$7+IFERROR(VLOOKUP(C16,Recipes!$C$25:$G$33,2,FALSE),0)*Dashboard!$F$8+IFERROR(VLOOKUP(C16,Recipes!$H$25:$J$33,2,FALSE),0)*Dashboard!$F$9</f>
        <v>17.5</v>
      </c>
      <c r="F16" s="36">
        <f>IFERROR(VLOOKUP(C16,Recipes!$C$6:$E$14,2,FALSE),0)*Dashboard!$C$15+IFERROR(VLOOKUP(C16,Recipes!$H$6:$J$15,2,FALSE),0)*Dashboard!$C$16+IFERROR(VLOOKUP(C16,Recipes!$M$6:$O$13,2,FALSE),0)*Dashboard!$C$17+IFERROR(VLOOKUP(C16,Recipes!$C$25:$G$33,2,FALSE),0)*Dashboard!$C$18+IFERROR(VLOOKUP(C16,Recipes!$H$25:$J$33,2,FALSE),0)*Dashboard!$C$19</f>
        <v>7.75</v>
      </c>
      <c r="G16" s="36">
        <f>IFERROR(VLOOKUP(C16,Recipes!$C$6:$E$14,2,FALSE),0)*Dashboard!$F$15+IFERROR(VLOOKUP(C16,Recipes!$H$6:$J$15,2,FALSE),0)*Dashboard!$F$16+IFERROR(VLOOKUP(C16,Recipes!$M$6:$O$13,2,FALSE),0)*Dashboard!$F$17+IFERROR(VLOOKUP(C16,Recipes!$C$25:$G$33,2,FALSE),0)*Dashboard!$F$18+IFERROR(VLOOKUP(C16,Recipes!$H$25:$J$33,2,FALSE),0)*Dashboard!$F$19</f>
        <v>4.75</v>
      </c>
      <c r="H16" s="43" t="s">
        <v>18</v>
      </c>
      <c r="J16" s="42" t="str">
        <f xml:space="preserve"> Unit!B17</f>
        <v>Quế</v>
      </c>
      <c r="K16" s="36">
        <f>ROUNDUP($D16/MID(Unit!E17,1, FIND(" ", Unit!E17)),0)</f>
        <v>1</v>
      </c>
      <c r="L16" s="36">
        <f>ROUNDUP($E16/MID(Unit!E17,1, FIND(" ", Unit!E17)),0)</f>
        <v>1</v>
      </c>
      <c r="M16" s="36">
        <f>ROUNDUP($F16/MID(Unit!E17,1, FIND(" ", Unit!E17)),0)</f>
        <v>1</v>
      </c>
      <c r="N16" s="36">
        <f>ROUNDUP($G16/MID(Unit!E17,1, FIND(" ", Unit!E17)),0)</f>
        <v>1</v>
      </c>
      <c r="O16" s="43" t="s">
        <v>25</v>
      </c>
    </row>
    <row r="17" spans="3:15" x14ac:dyDescent="0.3">
      <c r="C17" s="42" t="str">
        <f xml:space="preserve"> Unit!B18</f>
        <v xml:space="preserve">Kem </v>
      </c>
      <c r="D17" s="36">
        <f>IFERROR(VLOOKUP(C17,Recipes!$C$6:$E$14,2,FALSE),0)*Dashboard!$C$5+IFERROR(VLOOKUP(C17,Recipes!$H$6:$J$15,2,FALSE),0)*Dashboard!$C$6+IFERROR(VLOOKUP(C17,Recipes!$M$6:$O$13,2,FALSE),0)*Dashboard!$C$7+IFERROR(VLOOKUP(C17,Recipes!$C$25:$G$33,2,FALSE),0)*Dashboard!$C$8+IFERROR(VLOOKUP(C17,Recipes!$H$25:$J$33,2,FALSE),0)*Dashboard!$C$9</f>
        <v>5</v>
      </c>
      <c r="E17" s="36">
        <f>IFERROR(VLOOKUP(C17,Recipes!$C$6:$E$14,2,FALSE),0)*Dashboard!$F$5+IFERROR(VLOOKUP(C17,Recipes!$H$6:$J$15,2,FALSE),0)*Dashboard!$F$6+IFERROR(VLOOKUP(C17,Recipes!$M$6:$O$13,2,FALSE),0)*Dashboard!$F$7+IFERROR(VLOOKUP(C17,Recipes!$C$25:$G$33,2,FALSE),0)*Dashboard!$F$8+IFERROR(VLOOKUP(C17,Recipes!$H$25:$J$33,2,FALSE),0)*Dashboard!$F$9</f>
        <v>6</v>
      </c>
      <c r="F17" s="36">
        <f>IFERROR(VLOOKUP(C17,Recipes!$C$6:$E$14,2,FALSE),0)*Dashboard!$C$15+IFERROR(VLOOKUP(C17,Recipes!$H$6:$J$15,2,FALSE),0)*Dashboard!$C$16+IFERROR(VLOOKUP(C17,Recipes!$M$6:$O$13,2,FALSE),0)*Dashboard!$C$17+IFERROR(VLOOKUP(C17,Recipes!$C$25:$G$33,2,FALSE),0)*Dashboard!$C$18+IFERROR(VLOOKUP(C17,Recipes!$H$25:$J$33,2,FALSE),0)*Dashboard!$C$19</f>
        <v>13</v>
      </c>
      <c r="G17" s="36">
        <f>IFERROR(VLOOKUP(C17,Recipes!$C$6:$E$14,2,FALSE),0)*Dashboard!$F$15+IFERROR(VLOOKUP(C17,Recipes!$H$6:$J$15,2,FALSE),0)*Dashboard!$F$16+IFERROR(VLOOKUP(C17,Recipes!$M$6:$O$13,2,FALSE),0)*Dashboard!$F$17+IFERROR(VLOOKUP(C17,Recipes!$C$25:$G$33,2,FALSE),0)*Dashboard!$F$18+IFERROR(VLOOKUP(C17,Recipes!$H$25:$J$33,2,FALSE),0)*Dashboard!$F$19</f>
        <v>13.5</v>
      </c>
      <c r="H17" s="43" t="s">
        <v>17</v>
      </c>
      <c r="J17" s="42" t="str">
        <f xml:space="preserve"> Unit!B18</f>
        <v xml:space="preserve">Kem </v>
      </c>
      <c r="K17" s="36">
        <f>ROUNDUP($D17/MID(Unit!E18,1, FIND(" ", Unit!E18)),0)</f>
        <v>3</v>
      </c>
      <c r="L17" s="36">
        <f>ROUNDUP($E17/MID(Unit!E18,1, FIND(" ", Unit!E18)),0)</f>
        <v>3</v>
      </c>
      <c r="M17" s="36">
        <f>ROUNDUP($F17/MID(Unit!E18,1, FIND(" ", Unit!E18)),0)</f>
        <v>7</v>
      </c>
      <c r="N17" s="36">
        <f>ROUNDUP($G17/MID(Unit!E18,1, FIND(" ", Unit!E18)),0)</f>
        <v>7</v>
      </c>
      <c r="O17" s="43" t="s">
        <v>24</v>
      </c>
    </row>
    <row r="18" spans="3:15" x14ac:dyDescent="0.3">
      <c r="C18" s="42" t="str">
        <f xml:space="preserve"> Unit!B19</f>
        <v>Đường bột</v>
      </c>
      <c r="D18" s="36">
        <f>IFERROR(VLOOKUP(C18,Recipes!$C$6:$E$14,2,FALSE),0)*Dashboard!$C$5+IFERROR(VLOOKUP(C18,Recipes!$H$6:$J$15,2,FALSE),0)*Dashboard!$C$6+IFERROR(VLOOKUP(C18,Recipes!$M$6:$O$13,2,FALSE),0)*Dashboard!$C$7+IFERROR(VLOOKUP(C18,Recipes!$C$25:$G$33,2,FALSE),0)*Dashboard!$C$8+IFERROR(VLOOKUP(C18,Recipes!$H$25:$J$33,2,FALSE),0)*Dashboard!$C$9</f>
        <v>2.25</v>
      </c>
      <c r="E18" s="36">
        <f>IFERROR(VLOOKUP(C18,Recipes!$C$6:$E$14,2,FALSE),0)*Dashboard!$F$5+IFERROR(VLOOKUP(C18,Recipes!$H$6:$J$15,2,FALSE),0)*Dashboard!$F$6+IFERROR(VLOOKUP(C18,Recipes!$M$6:$O$13,2,FALSE),0)*Dashboard!$F$7+IFERROR(VLOOKUP(C18,Recipes!$C$25:$G$33,2,FALSE),0)*Dashboard!$F$8+IFERROR(VLOOKUP(C18,Recipes!$H$25:$J$33,2,FALSE),0)*Dashboard!$F$9</f>
        <v>4.25</v>
      </c>
      <c r="F18" s="36">
        <f>IFERROR(VLOOKUP(C18,Recipes!$C$6:$E$14,2,FALSE),0)*Dashboard!$C$15+IFERROR(VLOOKUP(C18,Recipes!$H$6:$J$15,2,FALSE),0)*Dashboard!$C$16+IFERROR(VLOOKUP(C18,Recipes!$M$6:$O$13,2,FALSE),0)*Dashboard!$C$17+IFERROR(VLOOKUP(C18,Recipes!$C$25:$G$33,2,FALSE),0)*Dashboard!$C$18+IFERROR(VLOOKUP(C18,Recipes!$H$25:$J$33,2,FALSE),0)*Dashboard!$C$19</f>
        <v>2.5</v>
      </c>
      <c r="G18" s="36">
        <f>IFERROR(VLOOKUP(C18,Recipes!$C$6:$E$14,2,FALSE),0)*Dashboard!$F$15+IFERROR(VLOOKUP(C18,Recipes!$H$6:$J$15,2,FALSE),0)*Dashboard!$F$16+IFERROR(VLOOKUP(C18,Recipes!$M$6:$O$13,2,FALSE),0)*Dashboard!$F$17+IFERROR(VLOOKUP(C18,Recipes!$C$25:$G$33,2,FALSE),0)*Dashboard!$F$18+IFERROR(VLOOKUP(C18,Recipes!$H$25:$J$33,2,FALSE),0)*Dashboard!$F$19</f>
        <v>3.5</v>
      </c>
      <c r="H18" s="43" t="s">
        <v>17</v>
      </c>
      <c r="J18" s="42" t="str">
        <f xml:space="preserve"> Unit!B19</f>
        <v>Đường bột</v>
      </c>
      <c r="K18" s="36">
        <f>ROUNDUP($D18/MID(Unit!E19,1, FIND(" ", Unit!E19)),0)</f>
        <v>1</v>
      </c>
      <c r="L18" s="36">
        <f>ROUNDUP($E18/MID(Unit!E19,1, FIND(" ", Unit!E19)),0)</f>
        <v>1</v>
      </c>
      <c r="M18" s="36">
        <f>ROUNDUP($F18/MID(Unit!E19,1, FIND(" ", Unit!E19)),0)</f>
        <v>1</v>
      </c>
      <c r="N18" s="36">
        <f>ROUNDUP($G18/MID(Unit!E19,1, FIND(" ", Unit!E19)),0)</f>
        <v>1</v>
      </c>
      <c r="O18" s="43" t="s">
        <v>32</v>
      </c>
    </row>
    <row r="19" spans="3:15" x14ac:dyDescent="0.3">
      <c r="C19" s="42" t="str">
        <f xml:space="preserve"> Unit!B20</f>
        <v>Nước chanh</v>
      </c>
      <c r="D19" s="36">
        <f>IFERROR(VLOOKUP(C19,Recipes!$C$6:$E$14,2,FALSE),0)*Dashboard!$C$5+IFERROR(VLOOKUP(C19,Recipes!$H$6:$J$15,2,FALSE),0)*Dashboard!$C$6+IFERROR(VLOOKUP(C19,Recipes!$M$6:$O$13,2,FALSE),0)*Dashboard!$C$7+IFERROR(VLOOKUP(C19,Recipes!$C$25:$G$33,2,FALSE),0)*Dashboard!$C$8+IFERROR(VLOOKUP(C19,Recipes!$H$25:$J$33,2,FALSE),0)*Dashboard!$C$9</f>
        <v>8</v>
      </c>
      <c r="E19" s="36">
        <f>IFERROR(VLOOKUP(C19,Recipes!$C$6:$E$14,2,FALSE),0)*Dashboard!$F$5+IFERROR(VLOOKUP(C19,Recipes!$H$6:$J$15,2,FALSE),0)*Dashboard!$F$6+IFERROR(VLOOKUP(C19,Recipes!$M$6:$O$13,2,FALSE),0)*Dashboard!$F$7+IFERROR(VLOOKUP(C19,Recipes!$C$25:$G$33,2,FALSE),0)*Dashboard!$F$8+IFERROR(VLOOKUP(C19,Recipes!$H$25:$J$33,2,FALSE),0)*Dashboard!$F$9</f>
        <v>16</v>
      </c>
      <c r="F19" s="36">
        <f>IFERROR(VLOOKUP(C19,Recipes!$C$6:$E$14,2,FALSE),0)*Dashboard!$C$15+IFERROR(VLOOKUP(C19,Recipes!$H$6:$J$15,2,FALSE),0)*Dashboard!$C$16+IFERROR(VLOOKUP(C19,Recipes!$M$6:$O$13,2,FALSE),0)*Dashboard!$C$17+IFERROR(VLOOKUP(C19,Recipes!$C$25:$G$33,2,FALSE),0)*Dashboard!$C$18+IFERROR(VLOOKUP(C19,Recipes!$H$25:$J$33,2,FALSE),0)*Dashboard!$C$19</f>
        <v>4</v>
      </c>
      <c r="G19" s="36">
        <f>IFERROR(VLOOKUP(C19,Recipes!$C$6:$E$14,2,FALSE),0)*Dashboard!$F$15+IFERROR(VLOOKUP(C19,Recipes!$H$6:$J$15,2,FALSE),0)*Dashboard!$F$16+IFERROR(VLOOKUP(C19,Recipes!$M$6:$O$13,2,FALSE),0)*Dashboard!$F$17+IFERROR(VLOOKUP(C19,Recipes!$C$25:$G$33,2,FALSE),0)*Dashboard!$F$18+IFERROR(VLOOKUP(C19,Recipes!$H$25:$J$33,2,FALSE),0)*Dashboard!$F$19</f>
        <v>8</v>
      </c>
      <c r="H19" s="43" t="s">
        <v>18</v>
      </c>
      <c r="J19" s="42" t="str">
        <f xml:space="preserve"> Unit!B20</f>
        <v>Nước chanh</v>
      </c>
      <c r="K19" s="36">
        <f>ROUNDUP($D19/MID(Unit!E20,1, FIND(" ", Unit!E20)),0)</f>
        <v>1</v>
      </c>
      <c r="L19" s="36">
        <f>ROUNDUP($E19/MID(Unit!E20,1, FIND(" ", Unit!E20)),0)</f>
        <v>1</v>
      </c>
      <c r="M19" s="36">
        <f>ROUNDUP($F19/MID(Unit!E20,1, FIND(" ", Unit!E20)),0)</f>
        <v>1</v>
      </c>
      <c r="N19" s="36">
        <f>ROUNDUP($G19/MID(Unit!E20,1, FIND(" ", Unit!E20)),0)</f>
        <v>1</v>
      </c>
      <c r="O19" s="43" t="s">
        <v>26</v>
      </c>
    </row>
    <row r="20" spans="3:15" x14ac:dyDescent="0.3">
      <c r="C20" s="42" t="str">
        <f xml:space="preserve"> Unit!B21</f>
        <v>Bột vỏ chanh</v>
      </c>
      <c r="D20" s="36">
        <f>IFERROR(VLOOKUP(C20,Recipes!$C$6:$E$14,2,FALSE),0)*Dashboard!$C$5+IFERROR(VLOOKUP(C20,Recipes!$H$6:$J$15,2,FALSE),0)*Dashboard!$C$6+IFERROR(VLOOKUP(C20,Recipes!$M$6:$O$13,2,FALSE),0)*Dashboard!$C$7+IFERROR(VLOOKUP(C20,Recipes!$C$25:$G$33,2,FALSE),0)*Dashboard!$C$8+IFERROR(VLOOKUP(C20,Recipes!$H$25:$J$33,2,FALSE),0)*Dashboard!$C$9</f>
        <v>3</v>
      </c>
      <c r="E20" s="36">
        <f>IFERROR(VLOOKUP(C20,Recipes!$C$6:$E$14,2,FALSE),0)*Dashboard!$F$5+IFERROR(VLOOKUP(C20,Recipes!$H$6:$J$15,2,FALSE),0)*Dashboard!$F$6+IFERROR(VLOOKUP(C20,Recipes!$M$6:$O$13,2,FALSE),0)*Dashboard!$F$7+IFERROR(VLOOKUP(C20,Recipes!$C$25:$G$33,2,FALSE),0)*Dashboard!$F$8+IFERROR(VLOOKUP(C20,Recipes!$H$25:$J$33,2,FALSE),0)*Dashboard!$F$9</f>
        <v>6</v>
      </c>
      <c r="F20" s="36">
        <f>IFERROR(VLOOKUP(C20,Recipes!$C$6:$E$14,2,FALSE),0)*Dashboard!$C$15+IFERROR(VLOOKUP(C20,Recipes!$H$6:$J$15,2,FALSE),0)*Dashboard!$C$16+IFERROR(VLOOKUP(C20,Recipes!$M$6:$O$13,2,FALSE),0)*Dashboard!$C$17+IFERROR(VLOOKUP(C20,Recipes!$C$25:$G$33,2,FALSE),0)*Dashboard!$C$18+IFERROR(VLOOKUP(C20,Recipes!$H$25:$J$33,2,FALSE),0)*Dashboard!$C$19</f>
        <v>1.5</v>
      </c>
      <c r="G20" s="36">
        <f>IFERROR(VLOOKUP(C20,Recipes!$C$6:$E$14,2,FALSE),0)*Dashboard!$F$15+IFERROR(VLOOKUP(C20,Recipes!$H$6:$J$15,2,FALSE),0)*Dashboard!$F$16+IFERROR(VLOOKUP(C20,Recipes!$M$6:$O$13,2,FALSE),0)*Dashboard!$F$17+IFERROR(VLOOKUP(C20,Recipes!$C$25:$G$33,2,FALSE),0)*Dashboard!$F$18+IFERROR(VLOOKUP(C20,Recipes!$H$25:$J$33,2,FALSE),0)*Dashboard!$F$19</f>
        <v>3</v>
      </c>
      <c r="H20" s="43" t="s">
        <v>18</v>
      </c>
      <c r="J20" s="42" t="str">
        <f xml:space="preserve"> Unit!B21</f>
        <v>Bột vỏ chanh</v>
      </c>
      <c r="K20" s="36">
        <f>ROUNDUP($D20/MID(Unit!E21,1, FIND(" ", Unit!E21)),0)</f>
        <v>1</v>
      </c>
      <c r="L20" s="36">
        <f>ROUNDUP($E20/MID(Unit!E21,1, FIND(" ", Unit!E21)),0)</f>
        <v>1</v>
      </c>
      <c r="M20" s="36">
        <f>ROUNDUP($F20/MID(Unit!E21,1, FIND(" ", Unit!E21)),0)</f>
        <v>1</v>
      </c>
      <c r="N20" s="36">
        <f>ROUNDUP($G20/MID(Unit!E21,1, FIND(" ", Unit!E21)),0)</f>
        <v>1</v>
      </c>
      <c r="O20" s="43" t="s">
        <v>27</v>
      </c>
    </row>
    <row r="21" spans="3:15" x14ac:dyDescent="0.3">
      <c r="C21" s="42" t="str">
        <f xml:space="preserve"> Unit!B22</f>
        <v>Gừng bột</v>
      </c>
      <c r="D21" s="36">
        <f>IFERROR(VLOOKUP(C21,Recipes!$C$6:$E$14,2,FALSE),0)*Dashboard!$C$5+IFERROR(VLOOKUP(C21,Recipes!$H$6:$J$15,2,FALSE),0)*Dashboard!$C$6+IFERROR(VLOOKUP(C21,Recipes!$M$6:$O$13,2,FALSE),0)*Dashboard!$C$7+IFERROR(VLOOKUP(C21,Recipes!$C$25:$G$33,2,FALSE),0)*Dashboard!$C$8+IFERROR(VLOOKUP(C21,Recipes!$H$25:$J$33,2,FALSE),0)*Dashboard!$C$9</f>
        <v>2.5</v>
      </c>
      <c r="E21" s="36">
        <f>IFERROR(VLOOKUP(C21,Recipes!$C$6:$E$14,2,FALSE),0)*Dashboard!$F$5+IFERROR(VLOOKUP(C21,Recipes!$H$6:$J$15,2,FALSE),0)*Dashboard!$F$6+IFERROR(VLOOKUP(C21,Recipes!$M$6:$O$13,2,FALSE),0)*Dashboard!$F$7+IFERROR(VLOOKUP(C21,Recipes!$C$25:$G$33,2,FALSE),0)*Dashboard!$F$8+IFERROR(VLOOKUP(C21,Recipes!$H$25:$J$33,2,FALSE),0)*Dashboard!$F$9</f>
        <v>1</v>
      </c>
      <c r="F21" s="36">
        <f>IFERROR(VLOOKUP(C21,Recipes!$C$6:$E$14,2,FALSE),0)*Dashboard!$C$15+IFERROR(VLOOKUP(C21,Recipes!$H$6:$J$15,2,FALSE),0)*Dashboard!$C$16+IFERROR(VLOOKUP(C21,Recipes!$M$6:$O$13,2,FALSE),0)*Dashboard!$C$17+IFERROR(VLOOKUP(C21,Recipes!$C$25:$G$33,2,FALSE),0)*Dashboard!$C$18+IFERROR(VLOOKUP(C21,Recipes!$H$25:$J$33,2,FALSE),0)*Dashboard!$C$19</f>
        <v>2.5</v>
      </c>
      <c r="G21" s="36">
        <f>IFERROR(VLOOKUP(C21,Recipes!$C$6:$E$14,2,FALSE),0)*Dashboard!$F$15+IFERROR(VLOOKUP(C21,Recipes!$H$6:$J$15,2,FALSE),0)*Dashboard!$F$16+IFERROR(VLOOKUP(C21,Recipes!$M$6:$O$13,2,FALSE),0)*Dashboard!$F$17+IFERROR(VLOOKUP(C21,Recipes!$C$25:$G$33,2,FALSE),0)*Dashboard!$F$18+IFERROR(VLOOKUP(C21,Recipes!$H$25:$J$33,2,FALSE),0)*Dashboard!$F$19</f>
        <v>0.5</v>
      </c>
      <c r="H21" s="43" t="s">
        <v>17</v>
      </c>
      <c r="J21" s="42" t="str">
        <f xml:space="preserve"> Unit!B22</f>
        <v>Gừng bột</v>
      </c>
      <c r="K21" s="36">
        <f>ROUNDUP($D21/MID(Unit!E22,1, FIND(" ", Unit!E22)),0)</f>
        <v>1</v>
      </c>
      <c r="L21" s="36">
        <f>ROUNDUP($E21/MID(Unit!E22,1, FIND(" ", Unit!E22)),0)</f>
        <v>1</v>
      </c>
      <c r="M21" s="36">
        <f>ROUNDUP($F21/MID(Unit!E22,1, FIND(" ", Unit!E22)),0)</f>
        <v>1</v>
      </c>
      <c r="N21" s="36">
        <f>ROUNDUP($G21/MID(Unit!E22,1, FIND(" ", Unit!E22)),0)</f>
        <v>1</v>
      </c>
      <c r="O21" s="43" t="s">
        <v>23</v>
      </c>
    </row>
    <row r="22" spans="3:15" ht="15" thickBot="1" x14ac:dyDescent="0.35">
      <c r="C22" s="45" t="str">
        <f xml:space="preserve"> Unit!B23</f>
        <v>Men</v>
      </c>
      <c r="D22" s="36">
        <f>IFERROR(VLOOKUP(C22,Recipes!$C$6:$E$14,2,FALSE),0)*Dashboard!$C$5+IFERROR(VLOOKUP(C22,Recipes!$H$6:$J$15,2,FALSE),0)*Dashboard!$C$6+IFERROR(VLOOKUP(C22,Recipes!$M$6:$O$13,2,FALSE),0)*Dashboard!$C$7+IFERROR(VLOOKUP(C22,Recipes!$C$25:$G$33,2,FALSE),0)*Dashboard!$C$8+IFERROR(VLOOKUP(C22,Recipes!$H$25:$J$33,2,FALSE),0)*Dashboard!$C$9</f>
        <v>2</v>
      </c>
      <c r="E22" s="36">
        <f>IFERROR(VLOOKUP(C22,Recipes!$C$6:$E$14,2,FALSE),0)*Dashboard!$F$5+IFERROR(VLOOKUP(C22,Recipes!$H$6:$J$15,2,FALSE),0)*Dashboard!$F$6+IFERROR(VLOOKUP(C22,Recipes!$M$6:$O$13,2,FALSE),0)*Dashboard!$F$7+IFERROR(VLOOKUP(C22,Recipes!$C$25:$G$33,2,FALSE),0)*Dashboard!$F$8+IFERROR(VLOOKUP(C22,Recipes!$H$25:$J$33,2,FALSE),0)*Dashboard!$F$9</f>
        <v>2</v>
      </c>
      <c r="F22" s="36">
        <f>IFERROR(VLOOKUP(C22,Recipes!$C$6:$E$14,2,FALSE),0)*Dashboard!$C$15+IFERROR(VLOOKUP(C22,Recipes!$H$6:$J$15,2,FALSE),0)*Dashboard!$C$16+IFERROR(VLOOKUP(C22,Recipes!$M$6:$O$13,2,FALSE),0)*Dashboard!$C$17+IFERROR(VLOOKUP(C22,Recipes!$C$25:$G$33,2,FALSE),0)*Dashboard!$C$18+IFERROR(VLOOKUP(C22,Recipes!$H$25:$J$33,2,FALSE),0)*Dashboard!$C$19</f>
        <v>6.25</v>
      </c>
      <c r="G22" s="36">
        <f>IFERROR(VLOOKUP(C22,Recipes!$C$6:$E$14,2,FALSE),0)*Dashboard!$F$15+IFERROR(VLOOKUP(C22,Recipes!$H$6:$J$15,2,FALSE),0)*Dashboard!$F$16+IFERROR(VLOOKUP(C22,Recipes!$M$6:$O$13,2,FALSE),0)*Dashboard!$F$17+IFERROR(VLOOKUP(C22,Recipes!$C$25:$G$33,2,FALSE),0)*Dashboard!$F$18+IFERROR(VLOOKUP(C22,Recipes!$H$25:$J$33,2,FALSE),0)*Dashboard!$F$19</f>
        <v>6.25</v>
      </c>
      <c r="H22" s="46" t="s">
        <v>35</v>
      </c>
      <c r="J22" s="45" t="str">
        <f xml:space="preserve"> Unit!B23</f>
        <v>Men</v>
      </c>
      <c r="K22" s="36">
        <f>ROUNDUP($D22/MID(Unit!E23,1, FIND(" ", Unit!E23)),0)</f>
        <v>1</v>
      </c>
      <c r="L22" s="36">
        <f>ROUNDUP($E22/MID(Unit!E23,1, FIND(" ", Unit!E23)),0)</f>
        <v>1</v>
      </c>
      <c r="M22" s="36">
        <f>ROUNDUP($F22/MID(Unit!E23,1, FIND(" ", Unit!E23)),0)</f>
        <v>2</v>
      </c>
      <c r="N22" s="36">
        <f>ROUNDUP($G22/MID(Unit!E23,1, FIND(" ", Unit!E23)),0)</f>
        <v>2</v>
      </c>
      <c r="O22" s="46" t="s">
        <v>34</v>
      </c>
    </row>
    <row r="24" spans="3:15" ht="15" thickBot="1" x14ac:dyDescent="0.35"/>
    <row r="25" spans="3:15" ht="24.75" customHeight="1" x14ac:dyDescent="0.3">
      <c r="C25" s="85" t="s">
        <v>109</v>
      </c>
      <c r="D25" s="86"/>
      <c r="E25" s="86"/>
      <c r="F25" s="86"/>
      <c r="G25" s="87"/>
      <c r="O25" s="53"/>
    </row>
    <row r="26" spans="3:15" ht="19.5" customHeight="1" x14ac:dyDescent="0.3">
      <c r="C26" s="88" t="s">
        <v>120</v>
      </c>
      <c r="D26" s="89"/>
      <c r="E26" s="89"/>
      <c r="F26" s="89"/>
      <c r="G26" s="90"/>
      <c r="I26" s="62"/>
      <c r="J26" s="64"/>
      <c r="O26" s="53"/>
    </row>
    <row r="27" spans="3:15" ht="33.75" customHeight="1" x14ac:dyDescent="0.3">
      <c r="C27" s="82" t="s">
        <v>84</v>
      </c>
      <c r="D27" s="83" t="s">
        <v>91</v>
      </c>
      <c r="E27" s="83" t="s">
        <v>92</v>
      </c>
      <c r="F27" s="83" t="s">
        <v>94</v>
      </c>
      <c r="G27" s="84" t="s">
        <v>93</v>
      </c>
    </row>
    <row r="28" spans="3:15" ht="41.25" customHeight="1" x14ac:dyDescent="0.3">
      <c r="C28" s="82"/>
      <c r="D28" s="83"/>
      <c r="E28" s="83"/>
      <c r="F28" s="83"/>
      <c r="G28" s="84"/>
    </row>
    <row r="29" spans="3:15" x14ac:dyDescent="0.3">
      <c r="C29" s="42" t="str">
        <f xml:space="preserve"> Unit!B6</f>
        <v>Trứng</v>
      </c>
      <c r="D29" s="63">
        <f>(LEFT(Unit!F6, FIND(" ",Unit!F6))*K5)/Dashboard!$I$4</f>
        <v>80000</v>
      </c>
      <c r="E29" s="63">
        <f>(LEFT(Unit!F6, FIND(" ",Unit!F6))*L5)/Dashboard!$I$4</f>
        <v>80000</v>
      </c>
      <c r="F29" s="63">
        <f>(LEFT(Unit!F6, FIND(" ",Unit!F6))*M5)/Dashboard!$I$4</f>
        <v>80000</v>
      </c>
      <c r="G29" s="63">
        <f>(LEFT(Unit!F6, FIND(" ",Unit!F6))*N5)/Dashboard!$I$4</f>
        <v>80000</v>
      </c>
    </row>
    <row r="30" spans="3:15" x14ac:dyDescent="0.3">
      <c r="C30" s="42" t="str">
        <f xml:space="preserve"> Unit!B7</f>
        <v>Đường</v>
      </c>
      <c r="D30" s="63">
        <f>(LEFT(Unit!F7, FIND(" ",Unit!F7))*K6)/Dashboard!$I$4</f>
        <v>40000</v>
      </c>
      <c r="E30" s="63">
        <f>(LEFT(Unit!F7, FIND(" ",Unit!F7))*L6)/Dashboard!$I$4</f>
        <v>20000</v>
      </c>
      <c r="F30" s="63">
        <f>(LEFT(Unit!F7, FIND(" ",Unit!F7))*M6)/Dashboard!$I$4</f>
        <v>40000</v>
      </c>
      <c r="G30" s="63">
        <f>(LEFT(Unit!F7, FIND(" ",Unit!F7))*N6)/Dashboard!$I$4</f>
        <v>20000</v>
      </c>
    </row>
    <row r="31" spans="3:15" x14ac:dyDescent="0.3">
      <c r="C31" s="42" t="str">
        <f xml:space="preserve"> Unit!B8</f>
        <v>Bột mì</v>
      </c>
      <c r="D31" s="63">
        <f>(LEFT(Unit!F8, FIND(" ",Unit!F8))*K7)/Dashboard!$I$4</f>
        <v>80000</v>
      </c>
      <c r="E31" s="63">
        <f>(LEFT(Unit!F8, FIND(" ",Unit!F8))*L7)/Dashboard!$I$4</f>
        <v>80000</v>
      </c>
      <c r="F31" s="63">
        <f>(LEFT(Unit!F8, FIND(" ",Unit!F8))*M7)/Dashboard!$I$4</f>
        <v>120000</v>
      </c>
      <c r="G31" s="63">
        <f>(LEFT(Unit!F8, FIND(" ",Unit!F8))*N7)/Dashboard!$I$4</f>
        <v>120000</v>
      </c>
    </row>
    <row r="32" spans="3:15" x14ac:dyDescent="0.3">
      <c r="C32" s="42" t="str">
        <f xml:space="preserve"> Unit!B9</f>
        <v>Baking soda</v>
      </c>
      <c r="D32" s="63">
        <f>(LEFT(Unit!F9, FIND(" ",Unit!F9))*K8)/Dashboard!$I$4</f>
        <v>20000</v>
      </c>
      <c r="E32" s="63">
        <f>(LEFT(Unit!F9, FIND(" ",Unit!F9))*L8)/Dashboard!$I$4</f>
        <v>20000</v>
      </c>
      <c r="F32" s="63">
        <f>(LEFT(Unit!F9, FIND(" ",Unit!F9))*M8)/Dashboard!$I$4</f>
        <v>20000</v>
      </c>
      <c r="G32" s="63">
        <f>(LEFT(Unit!F9, FIND(" ",Unit!F9))*N8)/Dashboard!$I$4</f>
        <v>20000</v>
      </c>
    </row>
    <row r="33" spans="3:7" x14ac:dyDescent="0.3">
      <c r="C33" s="42" t="str">
        <f xml:space="preserve"> Unit!B10</f>
        <v>Bột nở</v>
      </c>
      <c r="D33" s="63">
        <f>(LEFT(Unit!F10, FIND(" ",Unit!F10))*K9)/Dashboard!$I$4</f>
        <v>15000</v>
      </c>
      <c r="E33" s="63">
        <f>(LEFT(Unit!F10, FIND(" ",Unit!F10))*L9)/Dashboard!$I$4</f>
        <v>15000</v>
      </c>
      <c r="F33" s="63">
        <f>(LEFT(Unit!F10, FIND(" ",Unit!F10))*M9)/Dashboard!$I$4</f>
        <v>15000</v>
      </c>
      <c r="G33" s="63">
        <f>(LEFT(Unit!F10, FIND(" ",Unit!F10))*N9)/Dashboard!$I$4</f>
        <v>15000</v>
      </c>
    </row>
    <row r="34" spans="3:7" x14ac:dyDescent="0.3">
      <c r="C34" s="42" t="str">
        <f xml:space="preserve"> Unit!B11</f>
        <v>Chocolate chips</v>
      </c>
      <c r="D34" s="63">
        <f>(LEFT(Unit!F11, FIND(" ",Unit!F11))*K10)/Dashboard!$I$4</f>
        <v>100000</v>
      </c>
      <c r="E34" s="63">
        <f>(LEFT(Unit!F11, FIND(" ",Unit!F11))*L10)/Dashboard!$I$4</f>
        <v>60000</v>
      </c>
      <c r="F34" s="63">
        <f>(LEFT(Unit!F11, FIND(" ",Unit!F11))*M10)/Dashboard!$I$4</f>
        <v>140000</v>
      </c>
      <c r="G34" s="63">
        <f>(LEFT(Unit!F11, FIND(" ",Unit!F11))*N10)/Dashboard!$I$4</f>
        <v>100000</v>
      </c>
    </row>
    <row r="35" spans="3:7" x14ac:dyDescent="0.3">
      <c r="C35" s="42" t="str">
        <f xml:space="preserve"> Unit!B12</f>
        <v>Muối</v>
      </c>
      <c r="D35" s="63">
        <f>(LEFT(Unit!F12, FIND(" ",Unit!F12))*K11)/Dashboard!$I$4</f>
        <v>10000</v>
      </c>
      <c r="E35" s="63">
        <f>(LEFT(Unit!F12, FIND(" ",Unit!F12))*L11)/Dashboard!$I$4</f>
        <v>10000</v>
      </c>
      <c r="F35" s="63">
        <f>(LEFT(Unit!F12, FIND(" ",Unit!F12))*M11)/Dashboard!$I$4</f>
        <v>10000</v>
      </c>
      <c r="G35" s="63">
        <f>(LEFT(Unit!F12, FIND(" ",Unit!F12))*N11)/Dashboard!$I$4</f>
        <v>10000</v>
      </c>
    </row>
    <row r="36" spans="3:7" ht="15.75" customHeight="1" x14ac:dyDescent="0.3">
      <c r="C36" s="42" t="str">
        <f xml:space="preserve"> Unit!B13</f>
        <v>Đường nâu</v>
      </c>
      <c r="D36" s="63">
        <f>(LEFT(Unit!F13, FIND(" ",Unit!F13))*K12)/Dashboard!$I$4</f>
        <v>100000</v>
      </c>
      <c r="E36" s="63">
        <f>(LEFT(Unit!F13, FIND(" ",Unit!F13))*L12)/Dashboard!$I$4</f>
        <v>50000</v>
      </c>
      <c r="F36" s="63">
        <f>(LEFT(Unit!F13, FIND(" ",Unit!F13))*M12)/Dashboard!$I$4</f>
        <v>50000</v>
      </c>
      <c r="G36" s="63">
        <f>(LEFT(Unit!F13, FIND(" ",Unit!F13))*N12)/Dashboard!$I$4</f>
        <v>50000</v>
      </c>
    </row>
    <row r="37" spans="3:7" ht="14.25" customHeight="1" x14ac:dyDescent="0.3">
      <c r="C37" s="42" t="str">
        <f xml:space="preserve"> Unit!B14</f>
        <v>Đường mật</v>
      </c>
      <c r="D37" s="63">
        <f>(LEFT(Unit!F14, FIND(" ",Unit!F14))*K13)/Dashboard!$I$4</f>
        <v>60000</v>
      </c>
      <c r="E37" s="63">
        <f>(LEFT(Unit!F14, FIND(" ",Unit!F14))*L13)/Dashboard!$I$4</f>
        <v>60000</v>
      </c>
      <c r="F37" s="63">
        <f>(LEFT(Unit!F14, FIND(" ",Unit!F14))*M13)/Dashboard!$I$4</f>
        <v>60000</v>
      </c>
      <c r="G37" s="63">
        <f>(LEFT(Unit!F14, FIND(" ",Unit!F14))*N13)/Dashboard!$I$4</f>
        <v>60000</v>
      </c>
    </row>
    <row r="38" spans="3:7" ht="12.75" customHeight="1" x14ac:dyDescent="0.3">
      <c r="C38" s="42" t="str">
        <f xml:space="preserve"> Unit!B15</f>
        <v>Bơ</v>
      </c>
      <c r="D38" s="63">
        <f>(LEFT(Unit!F15, FIND(" ",Unit!F15))*K14)/Dashboard!$I$4</f>
        <v>60000</v>
      </c>
      <c r="E38" s="63">
        <f>(LEFT(Unit!F15, FIND(" ",Unit!F15))*L14)/Dashboard!$I$4</f>
        <v>60000</v>
      </c>
      <c r="F38" s="63">
        <f>(LEFT(Unit!F15, FIND(" ",Unit!F15))*M14)/Dashboard!$I$4</f>
        <v>60000</v>
      </c>
      <c r="G38" s="63">
        <f>(LEFT(Unit!F15, FIND(" ",Unit!F15))*N14)/Dashboard!$I$4</f>
        <v>40000</v>
      </c>
    </row>
    <row r="39" spans="3:7" ht="14.25" customHeight="1" x14ac:dyDescent="0.3">
      <c r="C39" s="42" t="str">
        <f xml:space="preserve"> Unit!B16</f>
        <v>Vani</v>
      </c>
      <c r="D39" s="63">
        <f>(LEFT(Unit!F16, FIND(" ",Unit!F16))*K15)/Dashboard!$I$4</f>
        <v>100000</v>
      </c>
      <c r="E39" s="63">
        <f>(LEFT(Unit!F16, FIND(" ",Unit!F16))*L15)/Dashboard!$I$4</f>
        <v>100000</v>
      </c>
      <c r="F39" s="63">
        <f>(LEFT(Unit!F16, FIND(" ",Unit!F16))*M15)/Dashboard!$I$4</f>
        <v>100000</v>
      </c>
      <c r="G39" s="63">
        <f>(LEFT(Unit!F16, FIND(" ",Unit!F16))*N15)/Dashboard!$I$4</f>
        <v>100000</v>
      </c>
    </row>
    <row r="40" spans="3:7" x14ac:dyDescent="0.3">
      <c r="C40" s="42" t="str">
        <f xml:space="preserve"> Unit!B17</f>
        <v>Quế</v>
      </c>
      <c r="D40" s="63">
        <f>(LEFT(Unit!F17, FIND(" ",Unit!F17))*K16)/Dashboard!$I$4</f>
        <v>160000</v>
      </c>
      <c r="E40" s="63">
        <f>(LEFT(Unit!F17, FIND(" ",Unit!F17))*L16)/Dashboard!$I$4</f>
        <v>160000</v>
      </c>
      <c r="F40" s="63">
        <f>(LEFT(Unit!F17, FIND(" ",Unit!F17))*M16)/Dashboard!$I$4</f>
        <v>160000</v>
      </c>
      <c r="G40" s="63">
        <f>(LEFT(Unit!F17, FIND(" ",Unit!F17))*N16)/Dashboard!$I$4</f>
        <v>160000</v>
      </c>
    </row>
    <row r="41" spans="3:7" x14ac:dyDescent="0.3">
      <c r="C41" s="42" t="str">
        <f xml:space="preserve"> Unit!B18</f>
        <v xml:space="preserve">Kem </v>
      </c>
      <c r="D41" s="63">
        <f>(LEFT(Unit!F18, FIND(" ",Unit!F18))*K17)/Dashboard!$I$4</f>
        <v>210000</v>
      </c>
      <c r="E41" s="63">
        <f>(LEFT(Unit!F18, FIND(" ",Unit!F18))*L17)/Dashboard!$I$4</f>
        <v>210000</v>
      </c>
      <c r="F41" s="63">
        <f>(LEFT(Unit!F18, FIND(" ",Unit!F18))*M17)/Dashboard!$I$4</f>
        <v>490000</v>
      </c>
      <c r="G41" s="63">
        <f>(LEFT(Unit!F18, FIND(" ",Unit!F18))*N17)/Dashboard!$I$4</f>
        <v>490000</v>
      </c>
    </row>
    <row r="42" spans="3:7" x14ac:dyDescent="0.3">
      <c r="C42" s="42" t="str">
        <f xml:space="preserve"> Unit!B19</f>
        <v>Đường bột</v>
      </c>
      <c r="D42" s="63">
        <f>(LEFT(Unit!F19, FIND(" ",Unit!F19))*K18)/Dashboard!$I$4</f>
        <v>50000</v>
      </c>
      <c r="E42" s="63">
        <f>(LEFT(Unit!F19, FIND(" ",Unit!F19))*L18)/Dashboard!$I$4</f>
        <v>50000</v>
      </c>
      <c r="F42" s="63">
        <f>(LEFT(Unit!F19, FIND(" ",Unit!F19))*M18)/Dashboard!$I$4</f>
        <v>50000</v>
      </c>
      <c r="G42" s="63">
        <f>(LEFT(Unit!F19, FIND(" ",Unit!F19))*N18)/Dashboard!$I$4</f>
        <v>50000</v>
      </c>
    </row>
    <row r="43" spans="3:7" x14ac:dyDescent="0.3">
      <c r="C43" s="42" t="str">
        <f xml:space="preserve"> Unit!B20</f>
        <v>Nước chanh</v>
      </c>
      <c r="D43" s="63">
        <f>(LEFT(Unit!F20, FIND(" ",Unit!F20))*K19)/Dashboard!$I$4</f>
        <v>40000</v>
      </c>
      <c r="E43" s="63">
        <f>(LEFT(Unit!F20, FIND(" ",Unit!F20))*L19)/Dashboard!$I$4</f>
        <v>40000</v>
      </c>
      <c r="F43" s="63">
        <f>(LEFT(Unit!F20, FIND(" ",Unit!F20))*M19)/Dashboard!$I$4</f>
        <v>40000</v>
      </c>
      <c r="G43" s="63">
        <f>(LEFT(Unit!F20, FIND(" ",Unit!F20))*N19)/Dashboard!$I$4</f>
        <v>40000</v>
      </c>
    </row>
    <row r="44" spans="3:7" x14ac:dyDescent="0.3">
      <c r="C44" s="42" t="str">
        <f xml:space="preserve"> Unit!B21</f>
        <v>Bột vỏ chanh</v>
      </c>
      <c r="D44" s="63">
        <f>(LEFT(Unit!F21, FIND(" ",Unit!F21))*K20)/Dashboard!$I$4</f>
        <v>120000</v>
      </c>
      <c r="E44" s="63">
        <f>(LEFT(Unit!F21, FIND(" ",Unit!F21))*L20)/Dashboard!$I$4</f>
        <v>120000</v>
      </c>
      <c r="F44" s="63">
        <f>(LEFT(Unit!F21, FIND(" ",Unit!F21))*M20)/Dashboard!$I$4</f>
        <v>120000</v>
      </c>
      <c r="G44" s="63">
        <f>(LEFT(Unit!F21, FIND(" ",Unit!F21))*N20)/Dashboard!$I$4</f>
        <v>120000</v>
      </c>
    </row>
    <row r="45" spans="3:7" x14ac:dyDescent="0.3">
      <c r="C45" s="42" t="str">
        <f xml:space="preserve"> Unit!B22</f>
        <v>Gừng bột</v>
      </c>
      <c r="D45" s="63">
        <f>(LEFT(Unit!F22, FIND(" ",Unit!F22))*K21)/Dashboard!$I$4</f>
        <v>30000</v>
      </c>
      <c r="E45" s="63">
        <f>(LEFT(Unit!F22, FIND(" ",Unit!F22))*L21)/Dashboard!$I$4</f>
        <v>30000</v>
      </c>
      <c r="F45" s="63">
        <f>(LEFT(Unit!F22, FIND(" ",Unit!F22))*M21)/Dashboard!$I$4</f>
        <v>30000</v>
      </c>
      <c r="G45" s="63">
        <f>(LEFT(Unit!F22, FIND(" ",Unit!F22))*N21)/Dashboard!$I$4</f>
        <v>30000</v>
      </c>
    </row>
    <row r="46" spans="3:7" ht="15" thickBot="1" x14ac:dyDescent="0.35">
      <c r="C46" s="45" t="str">
        <f xml:space="preserve"> Unit!B23</f>
        <v>Men</v>
      </c>
      <c r="D46" s="63">
        <f>(LEFT(Unit!F23, FIND(" ",Unit!F23))*K22)/Dashboard!$I$4</f>
        <v>50000</v>
      </c>
      <c r="E46" s="63">
        <f>(LEFT(Unit!F23, FIND(" ",Unit!F23))*L22)/Dashboard!$I$4</f>
        <v>50000</v>
      </c>
      <c r="F46" s="63">
        <f>(LEFT(Unit!F23, FIND(" ",Unit!F23))*M22)/Dashboard!$I$4</f>
        <v>100000</v>
      </c>
      <c r="G46" s="63">
        <f>(LEFT(Unit!F23, FIND(" ",Unit!F23))*N22)/Dashboard!$I$4</f>
        <v>100000</v>
      </c>
    </row>
    <row r="54" spans="10:16" x14ac:dyDescent="0.3">
      <c r="J54" s="55"/>
      <c r="K54" s="55"/>
      <c r="L54" s="55"/>
      <c r="M54" s="55"/>
      <c r="N54" s="55"/>
      <c r="O54" s="55"/>
      <c r="P54" s="55"/>
    </row>
    <row r="55" spans="10:16" x14ac:dyDescent="0.3">
      <c r="J55" s="55"/>
      <c r="K55" s="56"/>
      <c r="L55" s="56"/>
      <c r="M55" s="55"/>
      <c r="N55" s="55"/>
      <c r="O55" s="55"/>
      <c r="P55" s="53"/>
    </row>
    <row r="56" spans="10:16" x14ac:dyDescent="0.3">
      <c r="J56" s="55"/>
      <c r="K56" s="56"/>
      <c r="L56" s="56"/>
      <c r="M56" s="55"/>
      <c r="N56" s="55"/>
      <c r="O56" s="55"/>
      <c r="P56" s="53"/>
    </row>
    <row r="57" spans="10:16" x14ac:dyDescent="0.3">
      <c r="K57" s="3"/>
      <c r="L57" s="3"/>
      <c r="N57" s="2"/>
      <c r="P57" s="54"/>
    </row>
    <row r="58" spans="10:16" x14ac:dyDescent="0.3">
      <c r="K58" s="3"/>
      <c r="L58" s="3"/>
      <c r="N58" s="2"/>
      <c r="P58" s="54"/>
    </row>
    <row r="59" spans="10:16" x14ac:dyDescent="0.3">
      <c r="K59" s="3"/>
      <c r="L59" s="3"/>
      <c r="N59" s="2"/>
      <c r="P59" s="54"/>
    </row>
    <row r="60" spans="10:16" x14ac:dyDescent="0.3">
      <c r="K60" s="3"/>
      <c r="L60" s="3"/>
      <c r="N60" s="2"/>
      <c r="P60" s="54"/>
    </row>
    <row r="61" spans="10:16" x14ac:dyDescent="0.3">
      <c r="K61" s="3"/>
      <c r="L61" s="3"/>
      <c r="N61" s="2"/>
      <c r="P61" s="54"/>
    </row>
    <row r="62" spans="10:16" x14ac:dyDescent="0.3">
      <c r="K62" s="3"/>
      <c r="L62" s="3"/>
      <c r="N62" s="2"/>
      <c r="P62" s="54"/>
    </row>
    <row r="63" spans="10:16" x14ac:dyDescent="0.3">
      <c r="K63" s="3"/>
      <c r="L63" s="3"/>
      <c r="N63" s="2"/>
      <c r="P63" s="54"/>
    </row>
    <row r="64" spans="10:16" x14ac:dyDescent="0.3">
      <c r="K64" s="3"/>
      <c r="L64" s="3"/>
      <c r="N64" s="2"/>
      <c r="P64" s="54"/>
    </row>
    <row r="65" spans="11:16" x14ac:dyDescent="0.3">
      <c r="K65" s="3"/>
      <c r="L65" s="3"/>
      <c r="N65" s="2"/>
      <c r="P65" s="54"/>
    </row>
    <row r="66" spans="11:16" x14ac:dyDescent="0.3">
      <c r="K66" s="3"/>
      <c r="L66" s="3"/>
      <c r="N66" s="2"/>
      <c r="P66" s="54"/>
    </row>
    <row r="67" spans="11:16" x14ac:dyDescent="0.3">
      <c r="K67" s="3"/>
      <c r="L67" s="3"/>
      <c r="N67" s="2"/>
      <c r="P67" s="54"/>
    </row>
    <row r="68" spans="11:16" x14ac:dyDescent="0.3">
      <c r="K68" s="3"/>
      <c r="L68" s="3"/>
      <c r="N68" s="2"/>
      <c r="P68" s="54"/>
    </row>
    <row r="69" spans="11:16" x14ac:dyDescent="0.3">
      <c r="K69" s="3"/>
      <c r="L69" s="3"/>
      <c r="N69" s="2"/>
      <c r="P69" s="54"/>
    </row>
    <row r="70" spans="11:16" x14ac:dyDescent="0.3">
      <c r="K70" s="3"/>
      <c r="L70" s="3"/>
      <c r="N70" s="2"/>
      <c r="P70" s="54"/>
    </row>
    <row r="71" spans="11:16" x14ac:dyDescent="0.3">
      <c r="K71" s="3"/>
      <c r="L71" s="3"/>
      <c r="N71" s="2"/>
      <c r="P71" s="54"/>
    </row>
    <row r="72" spans="11:16" x14ac:dyDescent="0.3">
      <c r="K72" s="3"/>
      <c r="L72" s="3"/>
      <c r="N72" s="2"/>
      <c r="P72" s="54"/>
    </row>
    <row r="73" spans="11:16" x14ac:dyDescent="0.3">
      <c r="K73" s="3"/>
      <c r="L73" s="3"/>
      <c r="N73" s="2"/>
      <c r="P73" s="54"/>
    </row>
    <row r="74" spans="11:16" x14ac:dyDescent="0.3">
      <c r="K74" s="3"/>
      <c r="L74" s="3"/>
      <c r="N74" s="2"/>
      <c r="P74" s="54"/>
    </row>
  </sheetData>
  <mergeCells count="9">
    <mergeCell ref="J3:O3"/>
    <mergeCell ref="C27:C28"/>
    <mergeCell ref="D27:D28"/>
    <mergeCell ref="E27:E28"/>
    <mergeCell ref="F27:F28"/>
    <mergeCell ref="G27:G28"/>
    <mergeCell ref="C25:G25"/>
    <mergeCell ref="C26:G26"/>
    <mergeCell ref="C3:H3"/>
  </mergeCells>
  <conditionalFormatting sqref="D29:G46">
    <cfRule type="expression" dxfId="2" priority="3">
      <formula>$C$26="VND"</formula>
    </cfRule>
    <cfRule type="expression" dxfId="1" priority="1">
      <formula>$C$26="USD"</formula>
    </cfRule>
  </conditionalFormatting>
  <conditionalFormatting sqref="C26:G26">
    <cfRule type="expression" dxfId="0" priority="2">
      <formula>$C$26="USD"</formula>
    </cfRule>
  </conditionalFormatting>
  <dataValidations count="1">
    <dataValidation type="list" allowBlank="1" showInputMessage="1" showErrorMessage="1" sqref="P56 C26:G26" xr:uid="{00000000-0002-0000-0300-000000000000}">
      <formula1>"VND, USD"</formula1>
    </dataValidation>
  </dataValidation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B1:P50"/>
  <sheetViews>
    <sheetView zoomScale="85" zoomScaleNormal="85" workbookViewId="0">
      <selection activeCell="C11" sqref="C11"/>
    </sheetView>
  </sheetViews>
  <sheetFormatPr defaultRowHeight="14.4" x14ac:dyDescent="0.3"/>
  <cols>
    <col min="1" max="1" width="9.109375" customWidth="1"/>
    <col min="2" max="2" width="37.109375" customWidth="1"/>
    <col min="3" max="3" width="23.88671875" customWidth="1"/>
    <col min="4" max="4" width="24.109375" customWidth="1"/>
    <col min="5" max="5" width="29.6640625" customWidth="1"/>
    <col min="6" max="6" width="27" customWidth="1"/>
    <col min="7" max="7" width="22.6640625" customWidth="1"/>
    <col min="8" max="8" width="11" bestFit="1" customWidth="1"/>
    <col min="9" max="9" width="23.44140625" customWidth="1"/>
    <col min="10" max="10" width="23.5546875" customWidth="1"/>
    <col min="11" max="11" width="21.33203125" customWidth="1"/>
    <col min="12" max="12" width="23.33203125" customWidth="1"/>
    <col min="13" max="13" width="20.6640625" customWidth="1"/>
    <col min="14" max="14" width="19.5546875" customWidth="1"/>
    <col min="15" max="15" width="23.33203125" customWidth="1"/>
  </cols>
  <sheetData>
    <row r="1" spans="2:9" ht="15.75" customHeight="1" thickBot="1" x14ac:dyDescent="0.35"/>
    <row r="2" spans="2:9" ht="24.75" customHeight="1" x14ac:dyDescent="0.3">
      <c r="B2" s="79" t="s">
        <v>87</v>
      </c>
      <c r="C2" s="80"/>
      <c r="D2" s="80"/>
      <c r="E2" s="80"/>
      <c r="F2" s="81"/>
    </row>
    <row r="3" spans="2:9" ht="24" customHeight="1" x14ac:dyDescent="0.3">
      <c r="B3" s="42"/>
      <c r="C3" s="58" t="s">
        <v>91</v>
      </c>
      <c r="D3" s="58" t="s">
        <v>92</v>
      </c>
      <c r="E3" s="58" t="s">
        <v>94</v>
      </c>
      <c r="F3" s="59" t="s">
        <v>93</v>
      </c>
    </row>
    <row r="4" spans="2:9" ht="15.75" customHeight="1" x14ac:dyDescent="0.3">
      <c r="B4" s="42" t="s">
        <v>110</v>
      </c>
      <c r="C4" s="49">
        <f>SUBTOTAL(9,Pay!D29:D46)</f>
        <v>1325000</v>
      </c>
      <c r="D4" s="49">
        <f>SUBTOTAL(9,Pay!E29:E46)</f>
        <v>1215000</v>
      </c>
      <c r="E4" s="49">
        <f>SUBTOTAL(9,Pay!F29:F46)</f>
        <v>1685000</v>
      </c>
      <c r="F4" s="49">
        <f>SUBTOTAL(9,Pay!G29:G46)</f>
        <v>1605000</v>
      </c>
    </row>
    <row r="5" spans="2:9" ht="15.75" customHeight="1" x14ac:dyDescent="0.3">
      <c r="B5" s="42" t="s">
        <v>89</v>
      </c>
      <c r="C5" s="49">
        <f>AVERAGE(Pay!D29:D46)</f>
        <v>73611.111111111109</v>
      </c>
      <c r="D5" s="49">
        <f>AVERAGE(Pay!E29:E46)</f>
        <v>67500</v>
      </c>
      <c r="E5" s="49">
        <f>AVERAGE(Pay!F29:F46)</f>
        <v>93611.111111111109</v>
      </c>
      <c r="F5" s="49">
        <f>AVERAGE(Pay!G29:G46)</f>
        <v>89166.666666666672</v>
      </c>
    </row>
    <row r="6" spans="2:9" ht="15.75" customHeight="1" x14ac:dyDescent="0.3">
      <c r="B6" s="42" t="s">
        <v>90</v>
      </c>
      <c r="C6" s="49">
        <f>MAX(Pay!D29:D46)</f>
        <v>210000</v>
      </c>
      <c r="D6" s="49">
        <f>MAX(Pay!E29:E46)</f>
        <v>210000</v>
      </c>
      <c r="E6" s="49">
        <f>MAX(Pay!F29:F46)</f>
        <v>490000</v>
      </c>
      <c r="F6" s="49">
        <f>MAX(Pay!G29:G46)</f>
        <v>490000</v>
      </c>
    </row>
    <row r="7" spans="2:9" ht="15.75" customHeight="1" x14ac:dyDescent="0.3">
      <c r="B7" s="42" t="s">
        <v>106</v>
      </c>
      <c r="C7" s="49">
        <f>LARGE(Pay!D29:D46,2)</f>
        <v>160000</v>
      </c>
      <c r="D7" s="49">
        <f>LARGE(Pay!E29:E46,2)</f>
        <v>160000</v>
      </c>
      <c r="E7" s="49">
        <f>LARGE(Pay!F29:F46,2)</f>
        <v>160000</v>
      </c>
      <c r="F7" s="49">
        <f>LARGE(Pay!G29:G46,2)</f>
        <v>160000</v>
      </c>
    </row>
    <row r="8" spans="2:9" ht="15.75" customHeight="1" x14ac:dyDescent="0.3">
      <c r="B8" s="42" t="s">
        <v>107</v>
      </c>
      <c r="C8" s="49">
        <f>LARGE(Pay!D29:D46,3)</f>
        <v>120000</v>
      </c>
      <c r="D8" s="49">
        <f>LARGE(Pay!E29:E46,3)</f>
        <v>120000</v>
      </c>
      <c r="E8" s="49">
        <f>LARGE(Pay!F29:F46,3)</f>
        <v>140000</v>
      </c>
      <c r="F8" s="49">
        <f>LARGE(Pay!G29:G46,3)</f>
        <v>120000</v>
      </c>
    </row>
    <row r="9" spans="2:9" ht="15.75" customHeight="1" x14ac:dyDescent="0.3">
      <c r="B9" s="42" t="s">
        <v>108</v>
      </c>
      <c r="C9" s="49">
        <f>LARGE(Pay!D29:D46,4)</f>
        <v>100000</v>
      </c>
      <c r="D9" s="49">
        <f>LARGE(Pay!E29:E46,4)</f>
        <v>100000</v>
      </c>
      <c r="E9" s="49">
        <f>LARGE(Pay!F29:F46,4)</f>
        <v>120000</v>
      </c>
      <c r="F9" s="49">
        <f>LARGE(Pay!G29:G46,4)</f>
        <v>120000</v>
      </c>
      <c r="I9" s="57"/>
    </row>
    <row r="10" spans="2:9" ht="15.75" customHeight="1" x14ac:dyDescent="0.3">
      <c r="B10" s="42" t="s">
        <v>111</v>
      </c>
      <c r="C10" s="49">
        <f>C4-SUM(C6:C9)</f>
        <v>735000</v>
      </c>
      <c r="D10" s="49">
        <f t="shared" ref="D10:F10" si="0">D4-SUM(D6:D9)</f>
        <v>625000</v>
      </c>
      <c r="E10" s="49">
        <f t="shared" si="0"/>
        <v>775000</v>
      </c>
      <c r="F10" s="49">
        <f t="shared" si="0"/>
        <v>715000</v>
      </c>
    </row>
    <row r="11" spans="2:9" ht="15.75" customHeight="1" x14ac:dyDescent="0.3">
      <c r="B11" s="42" t="s">
        <v>112</v>
      </c>
      <c r="C11" s="36" t="str">
        <f>IF(C6=0,"None",INDEX(Pay!$C$29:$C$46,MATCH(Statistic!C6,Pay!D$29:D$46,0),0))</f>
        <v xml:space="preserve">Kem </v>
      </c>
      <c r="D11" s="36" t="str">
        <f>IF(D6=0,"None",INDEX(Pay!$C$29:$C$46,MATCH(Statistic!D6,Pay!E$29:E$46,0),0))</f>
        <v xml:space="preserve">Kem </v>
      </c>
      <c r="E11" s="36" t="str">
        <f>IF(E6=0,"None",INDEX(Pay!$C$29:$C$46,MATCH(Statistic!E6,Pay!F$29:F$46,0),0))</f>
        <v xml:space="preserve">Kem </v>
      </c>
      <c r="F11" s="36" t="str">
        <f>IF(F6=0,"None",INDEX(Pay!$C$29:$C$46,MATCH(Statistic!F6,Pay!G$29:G$46,0),0))</f>
        <v xml:space="preserve">Kem </v>
      </c>
    </row>
    <row r="12" spans="2:9" ht="15.75" customHeight="1" x14ac:dyDescent="0.3">
      <c r="B12" s="42" t="s">
        <v>113</v>
      </c>
      <c r="C12" s="36" t="str">
        <f>IF(C7=0,"None",INDEX(Pay!$C$29:$C$46,MATCH(Statistic!C7,Pay!D$29:D$46,0),0))</f>
        <v>Quế</v>
      </c>
      <c r="D12" s="36" t="str">
        <f>IF(D7=0,"None",INDEX(Pay!$C$29:$C$46,MATCH(Statistic!D7,Pay!E$29:E$46,0),0))</f>
        <v>Quế</v>
      </c>
      <c r="E12" s="36" t="str">
        <f>IF(E7=0,"None",INDEX(Pay!$C$29:$C$46,MATCH(Statistic!E7,Pay!F$29:F$46,0),0))</f>
        <v>Quế</v>
      </c>
      <c r="F12" s="36" t="str">
        <f>IF(F7=0,"None",INDEX(Pay!$C$29:$C$46,MATCH(Statistic!F7,Pay!G$29:G$46,0),0))</f>
        <v>Quế</v>
      </c>
    </row>
    <row r="13" spans="2:9" ht="15.75" customHeight="1" x14ac:dyDescent="0.3">
      <c r="B13" s="42" t="s">
        <v>114</v>
      </c>
      <c r="C13" s="36" t="str">
        <f>IF(C8=0,"None",INDEX(Pay!$C$29:$C$46,MATCH(Statistic!C8,Pay!D$29:D$46,0),0))</f>
        <v>Bột vỏ chanh</v>
      </c>
      <c r="D13" s="36" t="str">
        <f>IF(D8=0,"None",INDEX(Pay!$C$29:$C$46,MATCH(Statistic!D8,Pay!E$29:E$46,0),0))</f>
        <v>Bột vỏ chanh</v>
      </c>
      <c r="E13" s="36" t="str">
        <f>IF(E8=0,"None",INDEX(Pay!$C$29:$C$46,MATCH(Statistic!E8,Pay!F$29:F$46,0),0))</f>
        <v>Chocolate chips</v>
      </c>
      <c r="F13" s="36" t="str">
        <f>IF(F8=0,"None",INDEX(Pay!$C$29:$C$46,MATCH(Statistic!F8,Pay!G$29:G$46,0),0))</f>
        <v>Bột mì</v>
      </c>
    </row>
    <row r="14" spans="2:9" ht="15.75" customHeight="1" thickBot="1" x14ac:dyDescent="0.35">
      <c r="B14" s="45" t="s">
        <v>115</v>
      </c>
      <c r="C14" s="36" t="str">
        <f>IF(C9=0,"None",INDEX(Pay!$C$29:$C$46,MATCH(Statistic!C9,Pay!D$29:D$46,0),0))</f>
        <v>Chocolate chips</v>
      </c>
      <c r="D14" s="36" t="str">
        <f>IF(D9=0,"None",INDEX(Pay!$C$29:$C$46,MATCH(Statistic!D9,Pay!E$29:E$46,0),0))</f>
        <v>Vani</v>
      </c>
      <c r="E14" s="36" t="str">
        <f>IF(E9=0,"None",INDEX(Pay!$C$29:$C$46,MATCH(Statistic!E9,Pay!F$29:F$46,0),0))</f>
        <v>Bột mì</v>
      </c>
      <c r="F14" s="36" t="str">
        <f>IF(F9=0,"None",INDEX(Pay!$C$29:$C$46,MATCH(Statistic!F9,Pay!G$29:G$46,0),0))</f>
        <v>Bột mì</v>
      </c>
    </row>
    <row r="15" spans="2:9" ht="15.75" customHeight="1" x14ac:dyDescent="0.3"/>
    <row r="16" spans="2:9" ht="15.75" customHeight="1" x14ac:dyDescent="0.3"/>
    <row r="17" spans="2:16" ht="15.75" customHeight="1" x14ac:dyDescent="0.3"/>
    <row r="18" spans="2:16" ht="15.75" customHeight="1" x14ac:dyDescent="0.3">
      <c r="P18" s="57"/>
    </row>
    <row r="19" spans="2:16" ht="15.75" customHeight="1" thickBot="1" x14ac:dyDescent="0.35"/>
    <row r="20" spans="2:16" ht="24.75" customHeight="1" x14ac:dyDescent="0.3">
      <c r="B20" s="91" t="s">
        <v>116</v>
      </c>
      <c r="C20" s="92"/>
      <c r="D20" s="92"/>
      <c r="E20" s="92"/>
      <c r="F20" s="92"/>
      <c r="G20" s="93"/>
      <c r="I20" s="91" t="s">
        <v>103</v>
      </c>
      <c r="J20" s="92"/>
      <c r="K20" s="92"/>
      <c r="L20" s="92"/>
      <c r="M20" s="93"/>
    </row>
    <row r="21" spans="2:16" ht="15.75" customHeight="1" x14ac:dyDescent="0.3">
      <c r="B21" s="47"/>
      <c r="G21" s="44"/>
      <c r="I21" s="47"/>
      <c r="M21" s="44"/>
    </row>
    <row r="22" spans="2:16" ht="15.75" customHeight="1" x14ac:dyDescent="0.3">
      <c r="B22" s="47"/>
      <c r="G22" s="44"/>
      <c r="I22" s="47"/>
      <c r="M22" s="44"/>
    </row>
    <row r="23" spans="2:16" ht="15.75" customHeight="1" x14ac:dyDescent="0.3">
      <c r="B23" s="47"/>
      <c r="G23" s="44"/>
      <c r="I23" s="47"/>
      <c r="M23" s="44"/>
    </row>
    <row r="24" spans="2:16" ht="15.75" customHeight="1" x14ac:dyDescent="0.3">
      <c r="B24" s="47"/>
      <c r="G24" s="44"/>
      <c r="I24" s="47"/>
      <c r="M24" s="44"/>
    </row>
    <row r="25" spans="2:16" ht="15.75" customHeight="1" x14ac:dyDescent="0.3">
      <c r="B25" s="47"/>
      <c r="G25" s="44"/>
      <c r="I25" s="47"/>
      <c r="M25" s="44"/>
    </row>
    <row r="26" spans="2:16" ht="15.75" customHeight="1" x14ac:dyDescent="0.3">
      <c r="B26" s="47"/>
      <c r="G26" s="44"/>
      <c r="I26" s="47"/>
      <c r="M26" s="44"/>
    </row>
    <row r="27" spans="2:16" ht="15.75" customHeight="1" x14ac:dyDescent="0.3">
      <c r="B27" s="47"/>
      <c r="G27" s="44"/>
      <c r="I27" s="47"/>
      <c r="M27" s="44"/>
    </row>
    <row r="28" spans="2:16" ht="15.75" customHeight="1" x14ac:dyDescent="0.3">
      <c r="B28" s="47"/>
      <c r="G28" s="44"/>
      <c r="I28" s="47"/>
      <c r="M28" s="44"/>
    </row>
    <row r="29" spans="2:16" ht="15.75" customHeight="1" x14ac:dyDescent="0.3">
      <c r="B29" s="47"/>
      <c r="G29" s="44"/>
      <c r="I29" s="47"/>
      <c r="M29" s="44"/>
    </row>
    <row r="30" spans="2:16" ht="15.75" customHeight="1" x14ac:dyDescent="0.3">
      <c r="B30" s="47"/>
      <c r="G30" s="44"/>
      <c r="I30" s="47"/>
      <c r="M30" s="44"/>
    </row>
    <row r="31" spans="2:16" ht="15.75" customHeight="1" x14ac:dyDescent="0.3">
      <c r="B31" s="47"/>
      <c r="G31" s="44"/>
      <c r="I31" s="47"/>
      <c r="M31" s="44"/>
    </row>
    <row r="32" spans="2:16" ht="15.75" customHeight="1" x14ac:dyDescent="0.3">
      <c r="B32" s="47"/>
      <c r="G32" s="44"/>
      <c r="I32" s="47"/>
      <c r="M32" s="44"/>
    </row>
    <row r="33" spans="2:13" ht="15.75" customHeight="1" x14ac:dyDescent="0.3">
      <c r="B33" s="47"/>
      <c r="G33" s="44"/>
      <c r="I33" s="47"/>
      <c r="M33" s="44"/>
    </row>
    <row r="34" spans="2:13" ht="15.75" customHeight="1" x14ac:dyDescent="0.3">
      <c r="B34" s="47"/>
      <c r="G34" s="44"/>
      <c r="I34" s="47"/>
      <c r="M34" s="44"/>
    </row>
    <row r="35" spans="2:13" ht="15.75" customHeight="1" x14ac:dyDescent="0.3">
      <c r="B35" s="47"/>
      <c r="G35" s="44"/>
      <c r="I35" s="47"/>
      <c r="M35" s="44"/>
    </row>
    <row r="36" spans="2:13" ht="15.75" customHeight="1" x14ac:dyDescent="0.3">
      <c r="B36" s="47"/>
      <c r="G36" s="44"/>
      <c r="I36" s="47"/>
      <c r="M36" s="44"/>
    </row>
    <row r="37" spans="2:13" ht="15.75" customHeight="1" x14ac:dyDescent="0.3">
      <c r="B37" s="47"/>
      <c r="G37" s="44"/>
      <c r="I37" s="47"/>
      <c r="M37" s="44"/>
    </row>
    <row r="38" spans="2:13" ht="15.75" customHeight="1" x14ac:dyDescent="0.3">
      <c r="B38" s="47"/>
      <c r="G38" s="44"/>
      <c r="I38" s="47"/>
      <c r="M38" s="44"/>
    </row>
    <row r="39" spans="2:13" ht="15.75" customHeight="1" x14ac:dyDescent="0.3">
      <c r="B39" s="47"/>
      <c r="G39" s="44"/>
      <c r="I39" s="47"/>
      <c r="M39" s="44"/>
    </row>
    <row r="40" spans="2:13" ht="15.75" customHeight="1" x14ac:dyDescent="0.3">
      <c r="B40" s="47"/>
      <c r="G40" s="44"/>
      <c r="I40" s="47"/>
      <c r="M40" s="44"/>
    </row>
    <row r="41" spans="2:13" ht="15.75" customHeight="1" x14ac:dyDescent="0.3">
      <c r="B41" s="47"/>
      <c r="G41" s="44"/>
      <c r="I41" s="47"/>
      <c r="M41" s="44"/>
    </row>
    <row r="42" spans="2:13" ht="15.75" customHeight="1" x14ac:dyDescent="0.3">
      <c r="B42" s="47"/>
      <c r="G42" s="44"/>
      <c r="I42" s="47"/>
      <c r="M42" s="44"/>
    </row>
    <row r="43" spans="2:13" ht="15.75" customHeight="1" x14ac:dyDescent="0.3">
      <c r="B43" s="47"/>
      <c r="G43" s="44"/>
      <c r="I43" s="47"/>
      <c r="M43" s="44"/>
    </row>
    <row r="44" spans="2:13" ht="15.75" customHeight="1" x14ac:dyDescent="0.3">
      <c r="B44" s="47"/>
      <c r="G44" s="44"/>
      <c r="I44" s="47"/>
      <c r="M44" s="44"/>
    </row>
    <row r="45" spans="2:13" ht="15.75" customHeight="1" x14ac:dyDescent="0.3">
      <c r="B45" s="47"/>
      <c r="G45" s="44"/>
      <c r="I45" s="47"/>
      <c r="M45" s="44"/>
    </row>
    <row r="46" spans="2:13" ht="15.75" customHeight="1" x14ac:dyDescent="0.3">
      <c r="B46" s="47"/>
      <c r="G46" s="44"/>
      <c r="I46" s="47"/>
      <c r="M46" s="44"/>
    </row>
    <row r="47" spans="2:13" ht="15.75" customHeight="1" thickBot="1" x14ac:dyDescent="0.35">
      <c r="B47" s="48"/>
      <c r="C47" s="34"/>
      <c r="D47" s="34"/>
      <c r="E47" s="34"/>
      <c r="F47" s="34"/>
      <c r="G47" s="35"/>
      <c r="I47" s="48"/>
      <c r="J47" s="34"/>
      <c r="K47" s="34"/>
      <c r="L47" s="34"/>
      <c r="M47" s="35"/>
    </row>
    <row r="48" spans="2:13" ht="15.75" customHeight="1" x14ac:dyDescent="0.3"/>
    <row r="49" ht="15.75" customHeight="1" x14ac:dyDescent="0.3"/>
    <row r="50" ht="15.75" customHeight="1" x14ac:dyDescent="0.3"/>
  </sheetData>
  <mergeCells count="3">
    <mergeCell ref="B2:F2"/>
    <mergeCell ref="I20:M20"/>
    <mergeCell ref="B20:G20"/>
  </mergeCells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Dashboard</vt:lpstr>
      <vt:lpstr>Unit</vt:lpstr>
      <vt:lpstr>Recipes</vt:lpstr>
      <vt:lpstr>Pay</vt:lpstr>
      <vt:lpstr>Statistic</vt:lpstr>
      <vt:lpstr>DONVI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Phung Thu Huyen</cp:lastModifiedBy>
  <dcterms:created xsi:type="dcterms:W3CDTF">2021-01-26T02:50:36Z</dcterms:created>
  <dcterms:modified xsi:type="dcterms:W3CDTF">2023-08-09T14:30:40Z</dcterms:modified>
</cp:coreProperties>
</file>